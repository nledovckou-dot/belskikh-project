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4580" yWindow="-20820" windowWidth="38400" windowHeight="21000" tabRatio="600" firstSheet="0" activeTab="0" autoFilterDateGrouping="1"/>
  </bookViews>
  <sheets>
    <sheet xmlns:r="http://schemas.openxmlformats.org/officeDocument/2006/relationships" name="АСП Продажи_с трейд-ин" sheetId="1" state="visible" r:id="rId1"/>
  </sheets>
  <definedNames>
    <definedName name="_xlnm.Database">#REF!</definedName>
    <definedName name="_xlnm.Database" localSheetId="0">#REF!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</font>
    <font>
      <name val="Calibri"/>
      <charset val="204"/>
      <family val="2"/>
      <color theme="1"/>
      <sz val="12"/>
      <scheme val="minor"/>
    </font>
    <font>
      <name val="Arial"/>
      <family val="2"/>
      <color rgb="FF000000"/>
      <sz val="8"/>
    </font>
    <font>
      <name val="Arial"/>
      <family val="2"/>
      <color rgb="FF000000"/>
      <sz val="10"/>
    </font>
    <font>
      <name val="Calibri"/>
      <charset val="204"/>
      <family val="2"/>
      <color rgb="FFFF0000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  <scheme val="minor"/>
    </font>
    <font>
      <name val="DejaVuSansCondensed"/>
      <color theme="1"/>
      <sz val="7"/>
    </font>
    <font>
      <name val="Calibri"/>
      <family val="2"/>
      <b val="1"/>
      <color rgb="FFFF0000"/>
      <sz val="26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FF0000"/>
      <sz val="12"/>
      <scheme val="minor"/>
    </font>
    <font>
      <name val="Arial"/>
      <family val="2"/>
      <color rgb="FF000000"/>
      <sz val="12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8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FF"/>
        <bgColor rgb="FF000000"/>
      </patternFill>
    </fill>
    <fill>
      <patternFill patternType="solid">
        <fgColor theme="5" tint="0.7999816888943144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indexed="64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/>
      <right style="hair">
        <color theme="1"/>
      </right>
      <top style="hair">
        <color theme="1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5">
    <xf numFmtId="0" fontId="0" fillId="0" borderId="0"/>
    <xf numFmtId="9" fontId="3" fillId="0" borderId="0"/>
    <xf numFmtId="0" fontId="3" fillId="0" borderId="0"/>
    <xf numFmtId="0" fontId="1" fillId="0" borderId="0"/>
    <xf numFmtId="9" fontId="1" fillId="0" borderId="0"/>
  </cellStyleXfs>
  <cellXfs count="10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0" applyAlignment="1" pivotButton="0" quotePrefix="0" xfId="3">
      <alignment horizontal="center" vertical="center"/>
    </xf>
    <xf numFmtId="0" fontId="1" fillId="0" borderId="0" pivotButton="0" quotePrefix="0" xfId="3"/>
    <xf numFmtId="22" fontId="5" fillId="0" borderId="4" applyAlignment="1" pivotButton="0" quotePrefix="0" xfId="3">
      <alignment horizontal="left"/>
    </xf>
    <xf numFmtId="0" fontId="5" fillId="0" borderId="4" applyAlignment="1" pivotButton="0" quotePrefix="0" xfId="3">
      <alignment horizontal="left"/>
    </xf>
    <xf numFmtId="0" fontId="7" fillId="0" borderId="0" pivotButton="0" quotePrefix="0" xfId="3"/>
    <xf numFmtId="0" fontId="1" fillId="0" borderId="4" pivotButton="0" quotePrefix="0" xfId="3"/>
    <xf numFmtId="0" fontId="1" fillId="0" borderId="4" applyAlignment="1" pivotButton="0" quotePrefix="0" xfId="3">
      <alignment horizontal="center" vertical="center"/>
    </xf>
    <xf numFmtId="0" fontId="8" fillId="0" borderId="4" pivotButton="0" quotePrefix="0" xfId="3"/>
    <xf numFmtId="0" fontId="8" fillId="0" borderId="4" applyAlignment="1" pivotButton="0" quotePrefix="0" xfId="3">
      <alignment horizontal="center" vertical="center"/>
    </xf>
    <xf numFmtId="9" fontId="8" fillId="0" borderId="4" applyAlignment="1" pivotButton="0" quotePrefix="0" xfId="3">
      <alignment horizontal="center" vertical="center"/>
    </xf>
    <xf numFmtId="0" fontId="9" fillId="0" borderId="4" applyAlignment="1" pivotButton="0" quotePrefix="0" xfId="3">
      <alignment horizontal="center" vertical="center" wrapText="1"/>
    </xf>
    <xf numFmtId="0" fontId="10" fillId="0" borderId="4" applyAlignment="1" pivotButton="0" quotePrefix="0" xfId="3">
      <alignment horizontal="center" vertical="center" wrapText="1"/>
    </xf>
    <xf numFmtId="0" fontId="1" fillId="0" borderId="4" applyAlignment="1" pivotButton="0" quotePrefix="0" xfId="3">
      <alignment horizontal="center" vertical="center" wrapText="1"/>
    </xf>
    <xf numFmtId="0" fontId="6" fillId="4" borderId="7" applyAlignment="1" pivotButton="0" quotePrefix="0" xfId="3">
      <alignment horizontal="center" vertical="center" wrapText="1"/>
    </xf>
    <xf numFmtId="0" fontId="1" fillId="4" borderId="4" applyAlignment="1" pivotButton="0" quotePrefix="0" xfId="3">
      <alignment horizontal="center" vertical="center"/>
    </xf>
    <xf numFmtId="9" fontId="1" fillId="4" borderId="4" applyAlignment="1" pivotButton="0" quotePrefix="0" xfId="3">
      <alignment horizontal="center" vertical="center" wrapText="1"/>
    </xf>
    <xf numFmtId="0" fontId="1" fillId="4" borderId="4" applyAlignment="1" pivotButton="0" quotePrefix="0" xfId="3">
      <alignment vertical="center" wrapText="1"/>
    </xf>
    <xf numFmtId="0" fontId="1" fillId="0" borderId="1" applyAlignment="1" pivotButton="0" quotePrefix="0" xfId="3">
      <alignment horizontal="center" vertical="center" wrapText="1"/>
    </xf>
    <xf numFmtId="0" fontId="1" fillId="0" borderId="1" applyAlignment="1" pivotButton="0" quotePrefix="0" xfId="3">
      <alignment vertical="center" wrapText="1"/>
    </xf>
    <xf numFmtId="0" fontId="1" fillId="0" borderId="8" applyAlignment="1" pivotButton="0" quotePrefix="0" xfId="3">
      <alignment vertical="center"/>
    </xf>
    <xf numFmtId="9" fontId="0" fillId="0" borderId="4" applyAlignment="1" pivotButton="0" quotePrefix="0" xfId="4">
      <alignment horizontal="center" vertical="center" wrapText="1"/>
    </xf>
    <xf numFmtId="0" fontId="1" fillId="0" borderId="4" applyAlignment="1" pivotButton="0" quotePrefix="0" xfId="3">
      <alignment vertical="center" wrapText="1"/>
    </xf>
    <xf numFmtId="0" fontId="1" fillId="0" borderId="10" applyAlignment="1" pivotButton="0" quotePrefix="0" xfId="3">
      <alignment horizontal="center" vertical="center" wrapText="1"/>
    </xf>
    <xf numFmtId="0" fontId="1" fillId="0" borderId="13" applyAlignment="1" pivotButton="0" quotePrefix="0" xfId="3">
      <alignment horizontal="center" vertical="center" wrapText="1"/>
    </xf>
    <xf numFmtId="0" fontId="1" fillId="0" borderId="13" applyAlignment="1" pivotButton="0" quotePrefix="0" xfId="3">
      <alignment vertical="center" wrapText="1"/>
    </xf>
    <xf numFmtId="0" fontId="1" fillId="0" borderId="4" applyAlignment="1" pivotButton="0" quotePrefix="0" xfId="3">
      <alignment vertical="center"/>
    </xf>
    <xf numFmtId="0" fontId="1" fillId="4" borderId="4" applyAlignment="1" pivotButton="0" quotePrefix="0" xfId="3">
      <alignment vertical="center"/>
    </xf>
    <xf numFmtId="9" fontId="0" fillId="4" borderId="4" applyAlignment="1" pivotButton="0" quotePrefix="0" xfId="4">
      <alignment horizontal="center" vertical="center" wrapText="1"/>
    </xf>
    <xf numFmtId="0" fontId="1" fillId="0" borderId="15" applyAlignment="1" pivotButton="0" quotePrefix="0" xfId="3">
      <alignment horizontal="center" vertical="center" wrapText="1"/>
    </xf>
    <xf numFmtId="0" fontId="1" fillId="0" borderId="12" applyAlignment="1" pivotButton="0" quotePrefix="0" xfId="3">
      <alignment vertical="center"/>
    </xf>
    <xf numFmtId="0" fontId="6" fillId="4" borderId="17" applyAlignment="1" pivotButton="0" quotePrefix="0" xfId="3">
      <alignment horizontal="center" vertical="center" wrapText="1"/>
    </xf>
    <xf numFmtId="0" fontId="1" fillId="0" borderId="15" applyAlignment="1" pivotButton="0" quotePrefix="0" xfId="3">
      <alignment vertical="center" wrapText="1"/>
    </xf>
    <xf numFmtId="0" fontId="11" fillId="0" borderId="4" applyAlignment="1" pivotButton="0" quotePrefix="0" xfId="3">
      <alignment horizontal="center" vertical="center" wrapText="1"/>
    </xf>
    <xf numFmtId="0" fontId="6" fillId="4" borderId="20" applyAlignment="1" pivotButton="0" quotePrefix="0" xfId="3">
      <alignment horizontal="center" vertical="center" wrapText="1"/>
    </xf>
    <xf numFmtId="0" fontId="6" fillId="0" borderId="4" applyAlignment="1" pivotButton="0" quotePrefix="0" xfId="3">
      <alignment horizontal="center" vertical="center" wrapText="1"/>
    </xf>
    <xf numFmtId="9" fontId="0" fillId="0" borderId="4" applyAlignment="1" pivotButton="0" quotePrefix="0" xfId="4">
      <alignment horizontal="center" vertical="center"/>
    </xf>
    <xf numFmtId="9" fontId="0" fillId="4" borderId="4" applyAlignment="1" pivotButton="0" quotePrefix="0" xfId="4">
      <alignment horizontal="center" vertical="center"/>
    </xf>
    <xf numFmtId="0" fontId="1" fillId="0" borderId="2" applyAlignment="1" pivotButton="0" quotePrefix="0" xfId="3">
      <alignment vertical="center" wrapText="1"/>
    </xf>
    <xf numFmtId="0" fontId="1" fillId="0" borderId="18" applyAlignment="1" pivotButton="0" quotePrefix="0" xfId="3">
      <alignment vertical="center" wrapText="1"/>
    </xf>
    <xf numFmtId="0" fontId="1" fillId="0" borderId="3" applyAlignment="1" pivotButton="0" quotePrefix="0" xfId="3">
      <alignment vertical="center" wrapText="1"/>
    </xf>
    <xf numFmtId="9" fontId="1" fillId="0" borderId="4" applyAlignment="1" pivotButton="0" quotePrefix="0" xfId="1">
      <alignment horizontal="center" vertical="center" wrapText="1"/>
    </xf>
    <xf numFmtId="0" fontId="5" fillId="0" borderId="0" applyAlignment="1" pivotButton="0" quotePrefix="0" xfId="3">
      <alignment horizontal="left"/>
    </xf>
    <xf numFmtId="9" fontId="1" fillId="4" borderId="4" applyAlignment="1" pivotButton="0" quotePrefix="0" xfId="3">
      <alignment horizontal="center" vertical="center"/>
    </xf>
    <xf numFmtId="9" fontId="1" fillId="0" borderId="4" applyAlignment="1" pivotButton="0" quotePrefix="0" xfId="1">
      <alignment horizontal="center" vertical="center"/>
    </xf>
    <xf numFmtId="0" fontId="4" fillId="0" borderId="4" applyAlignment="1" pivotButton="0" quotePrefix="0" xfId="3">
      <alignment vertical="center" wrapText="1"/>
    </xf>
    <xf numFmtId="0" fontId="6" fillId="0" borderId="4" applyAlignment="1" pivotButton="0" quotePrefix="0" xfId="3">
      <alignment horizontal="center" vertical="center"/>
    </xf>
    <xf numFmtId="9" fontId="8" fillId="0" borderId="4" pivotButton="0" quotePrefix="0" xfId="3"/>
    <xf numFmtId="10" fontId="8" fillId="0" borderId="4" applyAlignment="1" pivotButton="0" quotePrefix="0" xfId="3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3">
      <alignment wrapText="1"/>
    </xf>
    <xf numFmtId="0" fontId="1" fillId="0" borderId="4" applyAlignment="1" pivotButton="0" quotePrefix="0" xfId="3">
      <alignment wrapText="1"/>
    </xf>
    <xf numFmtId="0" fontId="8" fillId="0" borderId="4" applyAlignment="1" pivotButton="0" quotePrefix="0" xfId="3">
      <alignment wrapText="1"/>
    </xf>
    <xf numFmtId="0" fontId="1" fillId="0" borderId="0" applyAlignment="1" pivotButton="0" quotePrefix="0" xfId="3">
      <alignment wrapText="1"/>
    </xf>
    <xf numFmtId="0" fontId="12" fillId="0" borderId="1" applyAlignment="1" pivotButton="0" quotePrefix="0" xfId="0">
      <alignment horizontal="center" vertical="center" wrapText="1"/>
    </xf>
    <xf numFmtId="9" fontId="14" fillId="4" borderId="4" applyAlignment="1" pivotButton="0" quotePrefix="0" xfId="3">
      <alignment horizontal="center" vertical="center" wrapText="1"/>
    </xf>
    <xf numFmtId="0" fontId="1" fillId="0" borderId="0" applyAlignment="1" pivotButton="0" quotePrefix="0" xfId="3">
      <alignment horizontal="center"/>
    </xf>
    <xf numFmtId="0" fontId="13" fillId="4" borderId="5" applyAlignment="1" pivotButton="0" quotePrefix="0" xfId="3">
      <alignment horizontal="center" vertical="center" wrapText="1"/>
    </xf>
    <xf numFmtId="0" fontId="13" fillId="4" borderId="6" applyAlignment="1" pivotButton="0" quotePrefix="0" xfId="3">
      <alignment horizontal="center" vertical="center" wrapText="1"/>
    </xf>
    <xf numFmtId="0" fontId="13" fillId="4" borderId="7" applyAlignment="1" pivotButton="0" quotePrefix="0" xfId="3">
      <alignment horizontal="center" vertical="center" wrapText="1"/>
    </xf>
    <xf numFmtId="0" fontId="1" fillId="0" borderId="1" applyAlignment="1" pivotButton="0" quotePrefix="0" xfId="3">
      <alignment horizontal="center" vertical="center" wrapText="1"/>
    </xf>
    <xf numFmtId="0" fontId="1" fillId="0" borderId="9" applyAlignment="1" pivotButton="0" quotePrefix="0" xfId="3">
      <alignment horizontal="center" vertical="center" wrapText="1"/>
    </xf>
    <xf numFmtId="0" fontId="1" fillId="0" borderId="10" applyAlignment="1" pivotButton="0" quotePrefix="0" xfId="3">
      <alignment horizontal="center" vertical="center" wrapText="1"/>
    </xf>
    <xf numFmtId="0" fontId="1" fillId="0" borderId="11" applyAlignment="1" pivotButton="0" quotePrefix="0" xfId="3">
      <alignment horizontal="center" vertical="center" wrapText="1"/>
    </xf>
    <xf numFmtId="0" fontId="1" fillId="0" borderId="12" applyAlignment="1" pivotButton="0" quotePrefix="0" xfId="3">
      <alignment horizontal="center" vertical="center" wrapText="1"/>
    </xf>
    <xf numFmtId="0" fontId="1" fillId="0" borderId="13" applyAlignment="1" pivotButton="0" quotePrefix="0" xfId="3">
      <alignment horizontal="center" vertical="center" wrapText="1"/>
    </xf>
    <xf numFmtId="0" fontId="1" fillId="0" borderId="4" applyAlignment="1" pivotButton="0" quotePrefix="0" xfId="3">
      <alignment horizontal="center" vertical="center" wrapText="1"/>
    </xf>
    <xf numFmtId="0" fontId="6" fillId="4" borderId="3" applyAlignment="1" pivotButton="0" quotePrefix="0" xfId="3">
      <alignment horizontal="center" vertical="center" wrapText="1"/>
    </xf>
    <xf numFmtId="0" fontId="6" fillId="4" borderId="14" applyAlignment="1" pivotButton="0" quotePrefix="0" xfId="3">
      <alignment horizontal="center" vertical="center" wrapText="1"/>
    </xf>
    <xf numFmtId="0" fontId="6" fillId="4" borderId="8" applyAlignment="1" pivotButton="0" quotePrefix="0" xfId="3">
      <alignment horizontal="center" vertical="center" wrapText="1"/>
    </xf>
    <xf numFmtId="0" fontId="1" fillId="0" borderId="15" applyAlignment="1" pivotButton="0" quotePrefix="0" xfId="3">
      <alignment horizontal="center" vertical="center" wrapText="1"/>
    </xf>
    <xf numFmtId="0" fontId="6" fillId="4" borderId="5" applyAlignment="1" pivotButton="0" quotePrefix="0" xfId="3">
      <alignment horizontal="center" vertical="center" wrapText="1"/>
    </xf>
    <xf numFmtId="0" fontId="6" fillId="4" borderId="6" applyAlignment="1" pivotButton="0" quotePrefix="0" xfId="3">
      <alignment horizontal="center" vertical="center" wrapText="1"/>
    </xf>
    <xf numFmtId="0" fontId="6" fillId="4" borderId="7" applyAlignment="1" pivotButton="0" quotePrefix="0" xfId="3">
      <alignment horizontal="center" vertical="center" wrapText="1"/>
    </xf>
    <xf numFmtId="0" fontId="6" fillId="4" borderId="16" applyAlignment="1" pivotButton="0" quotePrefix="0" xfId="3">
      <alignment horizontal="center" vertical="center" wrapText="1"/>
    </xf>
    <xf numFmtId="0" fontId="6" fillId="4" borderId="0" applyAlignment="1" pivotButton="0" quotePrefix="0" xfId="3">
      <alignment horizontal="center" vertical="center" wrapText="1"/>
    </xf>
    <xf numFmtId="0" fontId="6" fillId="4" borderId="17" applyAlignment="1" pivotButton="0" quotePrefix="0" xfId="3">
      <alignment horizontal="center" vertical="center" wrapText="1"/>
    </xf>
    <xf numFmtId="0" fontId="1" fillId="0" borderId="17" applyAlignment="1" pivotButton="0" quotePrefix="0" xfId="3">
      <alignment horizontal="center" vertical="center" wrapText="1"/>
    </xf>
    <xf numFmtId="0" fontId="1" fillId="0" borderId="15" applyAlignment="1" pivotButton="0" quotePrefix="0" xfId="3">
      <alignment horizontal="center" vertical="center"/>
    </xf>
    <xf numFmtId="0" fontId="1" fillId="0" borderId="12" applyAlignment="1" pivotButton="0" quotePrefix="0" xfId="3">
      <alignment horizontal="center" vertical="center"/>
    </xf>
    <xf numFmtId="0" fontId="1" fillId="0" borderId="13" applyAlignment="1" pivotButton="0" quotePrefix="0" xfId="3">
      <alignment horizontal="center" vertical="center"/>
    </xf>
    <xf numFmtId="0" fontId="13" fillId="4" borderId="21" applyAlignment="1" pivotButton="0" quotePrefix="0" xfId="3">
      <alignment horizontal="center" vertical="center" wrapText="1"/>
    </xf>
    <xf numFmtId="0" fontId="13" fillId="4" borderId="22" applyAlignment="1" pivotButton="0" quotePrefix="0" xfId="3">
      <alignment horizontal="center" vertical="center" wrapText="1"/>
    </xf>
    <xf numFmtId="0" fontId="13" fillId="4" borderId="23" applyAlignment="1" pivotButton="0" quotePrefix="0" xfId="3">
      <alignment horizontal="center" vertical="center" wrapText="1"/>
    </xf>
    <xf numFmtId="0" fontId="6" fillId="4" borderId="18" applyAlignment="1" pivotButton="0" quotePrefix="0" xfId="3">
      <alignment horizontal="center" vertical="center" wrapText="1"/>
    </xf>
    <xf numFmtId="0" fontId="6" fillId="4" borderId="19" applyAlignment="1" pivotButton="0" quotePrefix="0" xfId="3">
      <alignment horizontal="center" vertical="center" wrapText="1"/>
    </xf>
    <xf numFmtId="0" fontId="6" fillId="4" borderId="20" applyAlignment="1" pivotButton="0" quotePrefix="0" xfId="3">
      <alignment horizontal="center" vertical="center" wrapText="1"/>
    </xf>
    <xf numFmtId="0" fontId="13" fillId="4" borderId="15" applyAlignment="1" pivotButton="0" quotePrefix="0" xfId="3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3" fillId="4" borderId="24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4" borderId="4" applyAlignment="1" pivotButton="0" quotePrefix="0" xfId="3">
      <alignment horizontal="center" vertical="center" wrapText="1"/>
    </xf>
    <xf numFmtId="0" fontId="0" fillId="0" borderId="14" pivotButton="0" quotePrefix="0" xfId="0"/>
    <xf numFmtId="0" fontId="0" fillId="0" borderId="8" pivotButton="0" quotePrefix="0" xfId="0"/>
    <xf numFmtId="0" fontId="6" fillId="4" borderId="15" applyAlignment="1" pivotButton="0" quotePrefix="0" xfId="3">
      <alignment horizontal="center" vertical="center" wrapText="1"/>
    </xf>
    <xf numFmtId="0" fontId="6" fillId="4" borderId="12" applyAlignment="1" pivotButton="0" quotePrefix="0" xfId="3">
      <alignment horizontal="center" vertical="center" wrapText="1"/>
    </xf>
    <xf numFmtId="0" fontId="0" fillId="0" borderId="17" pivotButton="0" quotePrefix="0" xfId="0"/>
    <xf numFmtId="0" fontId="6" fillId="4" borderId="13" applyAlignment="1" pivotButton="0" quotePrefix="0" xfId="3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</cellXfs>
  <cellStyles count="5">
    <cellStyle name="Обычный" xfId="0" builtinId="0"/>
    <cellStyle name="Процентный" xfId="1" builtinId="5"/>
    <cellStyle name="Обычный 2" xfId="2"/>
    <cellStyle name="Обычный 3" xfId="3"/>
    <cellStyle name="Процентный 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twoCellAnchor editAs="oneCell">
    <from>
      <col>30</col>
      <colOff>0</colOff>
      <row>53</row>
      <rowOff>0</rowOff>
    </from>
    <to>
      <col>33</col>
      <colOff>685800</colOff>
      <row>53</row>
      <rowOff>3502</rowOff>
    </to>
    <pic>
      <nvPicPr>
        <cNvPr id="2" name="Рисунок 1" descr="page1image4131342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364200" y="5880100"/>
          <a:ext cx="3200400" cy="350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30</col>
      <colOff>0</colOff>
      <row>54</row>
      <rowOff>0</rowOff>
    </from>
    <to>
      <col>33</col>
      <colOff>685800</colOff>
      <row>54</row>
      <rowOff>0</rowOff>
    </to>
    <pic>
      <nvPicPr>
        <cNvPr id="3" name="Рисунок 2" descr="page1image4131217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364200" y="6311900"/>
          <a:ext cx="32004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33</col>
      <colOff>698500</colOff>
      <row>54</row>
      <rowOff>0</rowOff>
    </from>
    <to>
      <col>37</col>
      <colOff>558800</colOff>
      <row>54</row>
      <rowOff>0</rowOff>
    </to>
    <pic>
      <nvPicPr>
        <cNvPr id="4" name="Рисунок 3" descr="page1image4130947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577300" y="6311900"/>
          <a:ext cx="32131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571500</colOff>
      <row>54</row>
      <rowOff>0</rowOff>
    </from>
    <to>
      <col>41</col>
      <colOff>431800</colOff>
      <row>54</row>
      <rowOff>0</rowOff>
    </to>
    <pic>
      <nvPicPr>
        <cNvPr id="5" name="Рисунок 4" descr="page1image4130926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03100" y="6311900"/>
          <a:ext cx="32131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41</col>
      <colOff>444500</colOff>
      <row>54</row>
      <rowOff>0</rowOff>
    </from>
    <to>
      <col>45</col>
      <colOff>304800</colOff>
      <row>54</row>
      <rowOff>0</rowOff>
    </to>
    <pic>
      <nvPicPr>
        <cNvPr id="6" name="Рисунок 5" descr="page1image4131009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028900" y="6311900"/>
          <a:ext cx="32131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45</col>
      <colOff>317500</colOff>
      <row>54</row>
      <rowOff>0</rowOff>
    </from>
    <to>
      <col>49</col>
      <colOff>177799</colOff>
      <row>54</row>
      <rowOff>0</rowOff>
    </to>
    <pic>
      <nvPicPr>
        <cNvPr id="7" name="Рисунок 6" descr="page1image4131030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254700" y="6311900"/>
          <a:ext cx="32131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49</col>
      <colOff>190500</colOff>
      <row>54</row>
      <rowOff>0</rowOff>
    </from>
    <to>
      <col>53</col>
      <colOff>50800</colOff>
      <row>54</row>
      <rowOff>0</rowOff>
    </to>
    <pic>
      <nvPicPr>
        <cNvPr id="8" name="Рисунок 7" descr="page1image4131051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4480500" y="6311900"/>
          <a:ext cx="32131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53</col>
      <colOff>63500</colOff>
      <row>54</row>
      <rowOff>0</rowOff>
    </from>
    <to>
      <col>56</col>
      <colOff>749300</colOff>
      <row>54</row>
      <rowOff>0</rowOff>
    </to>
    <pic>
      <nvPicPr>
        <cNvPr id="9" name="Рисунок 8" descr="page1image413107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7706300" y="6311900"/>
          <a:ext cx="32004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56</col>
      <colOff>762000</colOff>
      <row>54</row>
      <rowOff>0</rowOff>
    </from>
    <to>
      <col>60</col>
      <colOff>622301</colOff>
      <row>54</row>
      <rowOff>0</rowOff>
    </to>
    <pic>
      <nvPicPr>
        <cNvPr id="10" name="Рисунок 9" descr="page1image4131092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0919400" y="6311900"/>
          <a:ext cx="32131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60</col>
      <colOff>635000</colOff>
      <row>54</row>
      <rowOff>0</rowOff>
    </from>
    <to>
      <col>64</col>
      <colOff>495300</colOff>
      <row>54</row>
      <rowOff>0</rowOff>
    </to>
    <pic>
      <nvPicPr>
        <cNvPr id="11" name="Рисунок 10" descr="page1image4131113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145200" y="6311900"/>
          <a:ext cx="32131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AC148"/>
  <sheetViews>
    <sheetView showGridLines="0" tabSelected="1" topLeftCell="A24" zoomScale="65" workbookViewId="0">
      <selection activeCell="D61" sqref="D61"/>
    </sheetView>
  </sheetViews>
  <sheetFormatPr baseColWidth="10" defaultColWidth="11" defaultRowHeight="16"/>
  <cols>
    <col width="7.83203125" customWidth="1" style="3" min="1" max="1"/>
    <col width="34.6640625" customWidth="1" style="4" min="2" max="2"/>
    <col width="7.83203125" customWidth="1" style="4" min="3" max="3"/>
    <col width="63" customWidth="1" style="4" min="4" max="4"/>
    <col width="14.33203125" customWidth="1" style="4" min="5" max="15"/>
    <col width="27.1640625" customWidth="1" style="56" min="16" max="25"/>
    <col hidden="1" width="26.6640625" customWidth="1" style="4" min="26" max="26"/>
    <col hidden="1" width="19.6640625" customWidth="1" style="3" min="27" max="27"/>
    <col hidden="1" width="19.1640625" customWidth="1" style="3" min="28" max="28"/>
    <col hidden="1" width="51.1640625" customWidth="1" style="4" min="29" max="29"/>
    <col width="11" customWidth="1" style="4" min="30" max="16384"/>
  </cols>
  <sheetData>
    <row r="2" ht="17" customHeight="1">
      <c r="D2" s="59" t="inlineStr">
        <is>
          <t>Общая информация</t>
        </is>
      </c>
    </row>
    <row r="3" hidden="1" ht="17" customHeight="1">
      <c r="D3" s="57" t="inlineStr">
        <is>
          <t>Волна</t>
        </is>
      </c>
      <c r="E3" s="1" t="inlineStr">
        <is>
          <t>Июнь 2025</t>
        </is>
      </c>
      <c r="F3" s="1" t="inlineStr">
        <is>
          <t>Июнь 2025</t>
        </is>
      </c>
      <c r="G3" s="1" t="inlineStr">
        <is>
          <t>Июнь 2025</t>
        </is>
      </c>
      <c r="H3" s="1" t="inlineStr">
        <is>
          <t>Июнь 2025</t>
        </is>
      </c>
      <c r="I3" s="1" t="n"/>
      <c r="J3" s="1" t="n"/>
      <c r="K3" s="1" t="n"/>
      <c r="L3" s="1" t="inlineStr">
        <is>
          <t>Июнь 2025</t>
        </is>
      </c>
      <c r="M3" s="1" t="inlineStr">
        <is>
          <t>Июнь 2025</t>
        </is>
      </c>
      <c r="N3" s="1" t="inlineStr">
        <is>
          <t>Июнь 2025</t>
        </is>
      </c>
      <c r="O3" s="1" t="n"/>
      <c r="P3" s="51" t="inlineStr">
        <is>
          <t>Июнь 2025</t>
        </is>
      </c>
      <c r="Q3" s="51" t="n"/>
      <c r="R3" s="51" t="n"/>
      <c r="S3" s="51" t="n"/>
      <c r="T3" s="51" t="n"/>
      <c r="U3" s="51" t="n"/>
      <c r="V3" s="51" t="n"/>
      <c r="W3" s="51" t="inlineStr">
        <is>
          <t>Июнь 2025</t>
        </is>
      </c>
      <c r="X3" s="51" t="inlineStr">
        <is>
          <t>Июнь 2025</t>
        </is>
      </c>
      <c r="Y3" s="51" t="inlineStr">
        <is>
          <t>Июнь 2025</t>
        </is>
      </c>
      <c r="Z3" s="5" t="n">
        <v>45146.75</v>
      </c>
    </row>
    <row r="4" ht="17" customHeight="1">
      <c r="D4" s="57" t="inlineStr">
        <is>
          <t>Формат</t>
        </is>
      </c>
      <c r="E4" s="1" t="inlineStr">
        <is>
          <t>3 - АСП Продажи с трейд-ин</t>
        </is>
      </c>
      <c r="F4" s="1" t="inlineStr">
        <is>
          <t>3 - АСП Продажи с трейд-ин</t>
        </is>
      </c>
      <c r="G4" s="1" t="inlineStr">
        <is>
          <t>3 - АСП Продажи с трейд-ин</t>
        </is>
      </c>
      <c r="H4" s="1" t="inlineStr">
        <is>
          <t>3 - АСП Продажи с трейд-ин</t>
        </is>
      </c>
      <c r="I4" s="1" t="n"/>
      <c r="J4" s="1" t="n"/>
      <c r="K4" s="1" t="n"/>
      <c r="L4" s="1" t="n"/>
      <c r="M4" s="1" t="n"/>
      <c r="N4" s="1" t="n"/>
      <c r="O4" s="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" t="inlineStr">
        <is>
          <t>08:08:2023 18:22</t>
        </is>
      </c>
    </row>
    <row r="5" hidden="1" ht="17" customHeight="1">
      <c r="D5" s="57" t="inlineStr">
        <is>
          <t>Макрорегион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" t="n">
        <v>45147.45833333334</v>
      </c>
    </row>
    <row r="6" hidden="1" ht="17" customHeight="1">
      <c r="D6" s="57" t="inlineStr">
        <is>
          <t>Филиал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" t="n"/>
    </row>
    <row r="7" hidden="1" ht="17" customHeight="1">
      <c r="D7" s="57" t="inlineStr">
        <is>
          <t>Город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6" t="inlineStr">
        <is>
          <t>Алексей, Иван</t>
        </is>
      </c>
    </row>
    <row r="8" ht="17" customHeight="1">
      <c r="D8" s="57" t="inlineStr">
        <is>
          <t>Дата и время проверки</t>
        </is>
      </c>
      <c r="E8" s="1" t="inlineStr">
        <is>
          <t>2025-12-09 13:20:00</t>
        </is>
      </c>
      <c r="F8" s="1" t="inlineStr">
        <is>
          <t>2025-12-22 17:30:00</t>
        </is>
      </c>
      <c r="G8" s="1" t="inlineStr">
        <is>
          <t>2025-11-22 15:00:00</t>
        </is>
      </c>
      <c r="H8" s="1" t="inlineStr">
        <is>
          <t>2026-01-11 15:46:00</t>
        </is>
      </c>
      <c r="I8" s="1" t="n"/>
      <c r="J8" s="1" t="n"/>
      <c r="K8" s="1" t="n"/>
      <c r="L8" s="1" t="n"/>
      <c r="M8" s="1" t="n"/>
      <c r="N8" s="1" t="n"/>
      <c r="O8" s="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6" t="inlineStr">
        <is>
          <t>Иван</t>
        </is>
      </c>
    </row>
    <row r="9" hidden="1" ht="17" customHeight="1">
      <c r="D9" s="57" t="inlineStr">
        <is>
          <t>Номер проверки</t>
        </is>
      </c>
      <c r="E9" s="1" t="n">
        <v>2983551</v>
      </c>
      <c r="F9" s="1" t="n">
        <v>2983552</v>
      </c>
      <c r="G9" s="1" t="n">
        <v>2983553</v>
      </c>
      <c r="H9" s="1" t="n">
        <v>3006184</v>
      </c>
      <c r="I9" s="1" t="n"/>
      <c r="J9" s="1" t="n"/>
      <c r="K9" s="1" t="n"/>
      <c r="L9" s="1" t="n"/>
      <c r="M9" s="1" t="n"/>
      <c r="N9" s="1" t="n"/>
      <c r="O9" s="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6" t="n">
        <v>89219188571</v>
      </c>
    </row>
    <row r="10" hidden="1" ht="17" customHeight="1">
      <c r="D10" s="57" t="inlineStr">
        <is>
          <t>ID ТП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/>
      <c r="J10" s="1" t="n"/>
      <c r="K10" s="1" t="n"/>
      <c r="L10" s="1" t="n"/>
      <c r="M10" s="1" t="n"/>
      <c r="N10" s="1" t="n"/>
      <c r="O10" s="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6" t="n"/>
    </row>
    <row r="11" hidden="1" ht="17" customHeight="1">
      <c r="D11" s="57" t="inlineStr">
        <is>
          <t>Код ТТ</t>
        </is>
      </c>
      <c r="E11" s="1" t="n">
        <v>59</v>
      </c>
      <c r="F11" s="1" t="n">
        <v>59</v>
      </c>
      <c r="G11" s="1" t="n">
        <v>59</v>
      </c>
      <c r="H11" s="1" t="n">
        <v>59</v>
      </c>
      <c r="I11" s="1" t="n"/>
      <c r="J11" s="1" t="n"/>
      <c r="K11" s="1" t="n"/>
      <c r="L11" s="1" t="n"/>
      <c r="M11" s="1" t="n"/>
      <c r="N11" s="1" t="n"/>
      <c r="O11" s="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6" t="inlineStr">
        <is>
          <t>Пежо 408</t>
        </is>
      </c>
    </row>
    <row r="12" hidden="1" ht="17" customHeight="1">
      <c r="D12" s="57" t="inlineStr">
        <is>
          <t>Код точки продаж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44" t="n"/>
    </row>
    <row r="13" hidden="1" ht="17" customHeight="1">
      <c r="D13" s="57" t="inlineStr">
        <is>
          <t>Название точки Филиал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44" t="n"/>
    </row>
    <row r="14" hidden="1" ht="17" customHeight="1">
      <c r="D14" s="57" t="inlineStr">
        <is>
          <t>Название точки Область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44" t="n"/>
    </row>
    <row r="15" hidden="1" ht="17" customHeight="1">
      <c r="D15" s="57" t="inlineStr">
        <is>
          <t>Название точки ТО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44" t="n"/>
    </row>
    <row r="16" hidden="1" ht="17" customHeight="1">
      <c r="D16" s="57" t="inlineStr">
        <is>
          <t>Название точки ТМ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44" t="n"/>
    </row>
    <row r="17" hidden="1" ht="17" customHeight="1">
      <c r="D17" s="57" t="inlineStr">
        <is>
          <t>Название точки РПО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44" t="n"/>
    </row>
    <row r="18" hidden="1" ht="17" customHeight="1">
      <c r="D18" s="57" t="inlineStr">
        <is>
          <t>Название точки РСПО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44" t="n"/>
    </row>
    <row r="19" hidden="1" ht="17" customHeight="1">
      <c r="D19" s="57" t="inlineStr">
        <is>
          <t>Название точки РТПО/РМПО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44" t="n"/>
    </row>
    <row r="20" ht="17" customHeight="1">
      <c r="D20" s="57" t="inlineStr">
        <is>
          <t>Название ТТ</t>
        </is>
      </c>
      <c r="E20" s="1" t="inlineStr">
        <is>
          <t>Автосалон Автогольдер</t>
        </is>
      </c>
      <c r="F20" s="1" t="inlineStr">
        <is>
          <t>Автосалон Автогольдер</t>
        </is>
      </c>
      <c r="G20" s="1" t="inlineStr">
        <is>
          <t>Автосалон Автогольдер</t>
        </is>
      </c>
      <c r="H20" s="1" t="inlineStr">
        <is>
          <t>Автосалон Автогольдер</t>
        </is>
      </c>
      <c r="I20" s="1" t="n"/>
      <c r="J20" s="1" t="n"/>
      <c r="K20" s="1" t="n"/>
      <c r="L20" s="1" t="n"/>
      <c r="M20" s="1" t="n"/>
      <c r="N20" s="1" t="n"/>
      <c r="O20" s="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44" t="n"/>
    </row>
    <row r="21" ht="17" customHeight="1">
      <c r="D21" s="57" t="inlineStr">
        <is>
          <t>Тип проверки</t>
        </is>
      </c>
      <c r="E21" s="1" t="inlineStr">
        <is>
          <t>3 - АСП Продажи с трейд-ин</t>
        </is>
      </c>
      <c r="F21" s="1" t="inlineStr">
        <is>
          <t>3 - АСП Продажи с трейд-ин</t>
        </is>
      </c>
      <c r="G21" s="1" t="inlineStr">
        <is>
          <t>3 - АСП Продажи с трейд-ин</t>
        </is>
      </c>
      <c r="H21" s="1" t="inlineStr">
        <is>
          <t>3 - АСП Продажи с трейд-ин</t>
        </is>
      </c>
      <c r="I21" s="1" t="n"/>
      <c r="J21" s="1" t="n"/>
      <c r="K21" s="1" t="n"/>
      <c r="L21" s="1" t="n"/>
      <c r="M21" s="1" t="n"/>
      <c r="N21" s="1" t="n"/>
      <c r="O21" s="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44" t="n"/>
    </row>
    <row r="22" ht="17" customHeight="1">
      <c r="D22" s="57" t="inlineStr">
        <is>
          <t>Дата проверки</t>
        </is>
      </c>
      <c r="E22" s="1" t="inlineStr">
        <is>
          <t>2025-12-09 13:20:00</t>
        </is>
      </c>
      <c r="F22" s="1" t="inlineStr">
        <is>
          <t>2025-12-22 17:30:00</t>
        </is>
      </c>
      <c r="G22" s="1" t="inlineStr">
        <is>
          <t>2025-11-22 15:00:00</t>
        </is>
      </c>
      <c r="H22" s="1" t="inlineStr">
        <is>
          <t>2026-01-11 15:46:00</t>
        </is>
      </c>
      <c r="I22" s="1" t="n"/>
      <c r="J22" s="1" t="n"/>
      <c r="K22" s="1" t="n"/>
      <c r="L22" s="1" t="n"/>
      <c r="M22" s="1" t="n"/>
      <c r="N22" s="1" t="n"/>
      <c r="O22" s="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44" t="n"/>
    </row>
    <row r="23" ht="17" customHeight="1">
      <c r="D23" s="57" t="inlineStr">
        <is>
          <t>Адрес</t>
        </is>
      </c>
      <c r="E23" s="1" t="inlineStr">
        <is>
          <t>г. Санкт-Петербург, ул. Оптиков, 4, корп. 2</t>
        </is>
      </c>
      <c r="F23" s="1" t="inlineStr">
        <is>
          <t>г. Санкт-Петербург, ул. Оптиков, 4, корп. 2</t>
        </is>
      </c>
      <c r="G23" s="1" t="inlineStr">
        <is>
          <t>г. Санкт-Петербург, ул. Оптиков, 4, корп. 2</t>
        </is>
      </c>
      <c r="H23" s="1" t="inlineStr">
        <is>
          <t>г. Санкт-Петербург, ул. Оптиков, 4, корп. 2</t>
        </is>
      </c>
      <c r="I23" s="1" t="n"/>
      <c r="J23" s="1" t="n"/>
      <c r="K23" s="1" t="n"/>
      <c r="L23" s="1" t="n"/>
      <c r="M23" s="1" t="n"/>
      <c r="N23" s="1" t="n"/>
      <c r="O23" s="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44" t="n"/>
    </row>
    <row r="24" ht="17" customHeight="1">
      <c r="D24" s="57" t="inlineStr">
        <is>
          <t>Набранные баллы</t>
        </is>
      </c>
      <c r="E24" s="1" t="n">
        <v>50</v>
      </c>
      <c r="F24" s="1" t="n">
        <v>46</v>
      </c>
      <c r="G24" s="1" t="n">
        <v>37</v>
      </c>
      <c r="H24" s="1" t="n">
        <v>37</v>
      </c>
      <c r="I24" s="1" t="n"/>
      <c r="J24" s="1" t="n"/>
      <c r="K24" s="1" t="n"/>
      <c r="L24" s="1" t="n"/>
      <c r="M24" s="1" t="n"/>
      <c r="N24" s="1" t="n"/>
      <c r="O24" s="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44" t="n"/>
    </row>
    <row r="25" ht="17" customHeight="1">
      <c r="D25" s="57" t="inlineStr">
        <is>
          <t>Маскимально возможные баллы</t>
        </is>
      </c>
      <c r="E25" s="1" t="n">
        <v>64</v>
      </c>
      <c r="F25" s="1" t="n">
        <v>62</v>
      </c>
      <c r="G25" s="1" t="n">
        <v>47</v>
      </c>
      <c r="H25" s="1" t="n">
        <v>48</v>
      </c>
      <c r="I25" s="1" t="n"/>
      <c r="J25" s="1" t="n"/>
      <c r="K25" s="1" t="n"/>
      <c r="L25" s="1" t="n"/>
      <c r="M25" s="1" t="n"/>
      <c r="N25" s="1" t="n"/>
      <c r="O25" s="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44" t="n"/>
    </row>
    <row r="26" ht="17" customHeight="1">
      <c r="D26" s="57" t="inlineStr">
        <is>
          <t>Результат</t>
        </is>
      </c>
      <c r="E26" s="1" t="inlineStr">
        <is>
          <t>78.1%</t>
        </is>
      </c>
      <c r="F26" s="1" t="inlineStr">
        <is>
          <t>74.2%</t>
        </is>
      </c>
      <c r="G26" s="1" t="inlineStr">
        <is>
          <t>78.7%</t>
        </is>
      </c>
      <c r="H26" s="1" t="inlineStr">
        <is>
          <t>77.1%</t>
        </is>
      </c>
      <c r="I26" s="1" t="n"/>
      <c r="J26" s="1" t="n"/>
      <c r="K26" s="1" t="n"/>
      <c r="L26" s="1" t="n"/>
      <c r="M26" s="1" t="n"/>
      <c r="N26" s="1" t="n"/>
      <c r="O26" s="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44" t="n"/>
    </row>
    <row r="27" ht="17" customHeight="1">
      <c r="D27" s="57" t="inlineStr">
        <is>
          <t>Общая информация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44" t="n"/>
    </row>
    <row r="28" ht="17" customHeight="1">
      <c r="D28" s="57" t="inlineStr">
        <is>
          <t>Дата оставленной заявки на сайте</t>
        </is>
      </c>
      <c r="E28" s="1" t="inlineStr">
        <is>
          <t>2025-12-09</t>
        </is>
      </c>
      <c r="F28" s="1" t="inlineStr">
        <is>
          <t>2025-12-22</t>
        </is>
      </c>
      <c r="G28" s="1" t="inlineStr">
        <is>
          <t>2025-11-22</t>
        </is>
      </c>
      <c r="H28" s="1" t="inlineStr">
        <is>
          <t>2026-01-11</t>
        </is>
      </c>
      <c r="I28" s="1" t="n"/>
      <c r="J28" s="1" t="n"/>
      <c r="K28" s="1" t="n"/>
      <c r="L28" s="1" t="n"/>
      <c r="M28" s="1" t="n"/>
      <c r="N28" s="1" t="n"/>
      <c r="O28" s="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44" t="n"/>
    </row>
    <row r="29" ht="17" customHeight="1">
      <c r="D29" s="57" t="inlineStr">
        <is>
          <t>Время оставленной заявки на сайте</t>
        </is>
      </c>
      <c r="E29" s="1" t="inlineStr">
        <is>
          <t>12:33</t>
        </is>
      </c>
      <c r="F29" s="1" t="inlineStr">
        <is>
          <t>11:31</t>
        </is>
      </c>
      <c r="G29" s="1" t="inlineStr">
        <is>
          <t>14:23</t>
        </is>
      </c>
      <c r="H29" s="1" t="inlineStr">
        <is>
          <t>14:52</t>
        </is>
      </c>
      <c r="I29" s="1" t="n"/>
      <c r="J29" s="1" t="n"/>
      <c r="K29" s="1" t="n"/>
      <c r="L29" s="1" t="n"/>
      <c r="M29" s="1" t="n"/>
      <c r="N29" s="1" t="n"/>
      <c r="O29" s="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44" t="n"/>
    </row>
    <row r="30" ht="17" customHeight="1">
      <c r="D30" s="57" t="inlineStr">
        <is>
          <t>Дата звонка из ДЦ</t>
        </is>
      </c>
      <c r="E30" s="1" t="inlineStr">
        <is>
          <t>2025-12-09</t>
        </is>
      </c>
      <c r="F30" s="1" t="inlineStr">
        <is>
          <t>2025-12-22</t>
        </is>
      </c>
      <c r="G30" s="1" t="inlineStr">
        <is>
          <t>2025-11-22</t>
        </is>
      </c>
      <c r="H30" s="1" t="inlineStr">
        <is>
          <t>2026-01-11</t>
        </is>
      </c>
      <c r="I30" s="1" t="n"/>
      <c r="J30" s="1" t="n"/>
      <c r="K30" s="1" t="n"/>
      <c r="L30" s="1" t="n"/>
      <c r="M30" s="1" t="n"/>
      <c r="N30" s="1" t="n"/>
      <c r="O30" s="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44" t="n"/>
    </row>
    <row r="31" ht="17" customHeight="1">
      <c r="D31" s="57" t="inlineStr">
        <is>
          <t>Время звонка из ДЦ</t>
        </is>
      </c>
      <c r="E31" s="1" t="inlineStr">
        <is>
          <t>13:00</t>
        </is>
      </c>
      <c r="F31" s="1" t="inlineStr">
        <is>
          <t>12:00</t>
        </is>
      </c>
      <c r="G31" s="1" t="inlineStr">
        <is>
          <t>14:53</t>
        </is>
      </c>
      <c r="H31" s="1" t="inlineStr">
        <is>
          <t>14:10</t>
        </is>
      </c>
      <c r="I31" s="1" t="n"/>
      <c r="J31" s="1" t="n"/>
      <c r="K31" s="1" t="n"/>
      <c r="L31" s="1" t="n"/>
      <c r="M31" s="1" t="n"/>
      <c r="N31" s="1" t="n"/>
      <c r="O31" s="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44" t="n"/>
    </row>
    <row r="32" ht="17" customHeight="1">
      <c r="D32" s="57" t="inlineStr">
        <is>
          <t>Дата проверки ДЦ</t>
        </is>
      </c>
      <c r="E32" s="1" t="inlineStr">
        <is>
          <t>2025-12-09</t>
        </is>
      </c>
      <c r="F32" s="1" t="inlineStr">
        <is>
          <t>2025-12-22</t>
        </is>
      </c>
      <c r="G32" s="1" t="inlineStr">
        <is>
          <t>2025-11-22</t>
        </is>
      </c>
      <c r="H32" s="1" t="inlineStr">
        <is>
          <t>2026-01-11</t>
        </is>
      </c>
      <c r="I32" s="1" t="n"/>
      <c r="J32" s="1" t="n"/>
      <c r="K32" s="1" t="n"/>
      <c r="L32" s="1" t="n"/>
      <c r="M32" s="1" t="n"/>
      <c r="N32" s="1" t="n"/>
      <c r="O32" s="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44" t="n"/>
    </row>
    <row r="33" ht="17" customHeight="1">
      <c r="D33" s="57" t="inlineStr">
        <is>
          <t>Время проверки ДЦ</t>
        </is>
      </c>
      <c r="E33" s="1" t="inlineStr">
        <is>
          <t>13:20</t>
        </is>
      </c>
      <c r="F33" s="1" t="inlineStr">
        <is>
          <t>17:30</t>
        </is>
      </c>
      <c r="G33" s="1" t="inlineStr">
        <is>
          <t>15:00</t>
        </is>
      </c>
      <c r="H33" s="1" t="inlineStr">
        <is>
          <t>15:46</t>
        </is>
      </c>
      <c r="I33" s="1" t="n"/>
      <c r="J33" s="1" t="n"/>
      <c r="K33" s="1" t="n"/>
      <c r="L33" s="1" t="n"/>
      <c r="M33" s="1" t="n"/>
      <c r="N33" s="1" t="n"/>
      <c r="O33" s="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44" t="n"/>
    </row>
    <row r="34" ht="17" customHeight="1">
      <c r="D34" s="57" t="inlineStr">
        <is>
          <t>Общее время визита в ДЦ</t>
        </is>
      </c>
      <c r="E34" s="1" t="inlineStr">
        <is>
          <t>00:35</t>
        </is>
      </c>
      <c r="F34" s="1" t="inlineStr">
        <is>
          <t>01:00</t>
        </is>
      </c>
      <c r="G34" s="1" t="inlineStr">
        <is>
          <t>00:36</t>
        </is>
      </c>
      <c r="H34" s="1" t="inlineStr">
        <is>
          <t>00:20</t>
        </is>
      </c>
      <c r="I34" s="1" t="n"/>
      <c r="J34" s="1" t="n"/>
      <c r="K34" s="1" t="n"/>
      <c r="L34" s="1" t="n"/>
      <c r="M34" s="1" t="n"/>
      <c r="N34" s="1" t="n"/>
      <c r="O34" s="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44" t="n"/>
    </row>
    <row r="35" ht="17" customHeight="1">
      <c r="D35" s="57" t="inlineStr">
        <is>
          <t>ФИО сотрудника, консультирующего по телефону</t>
        </is>
      </c>
      <c r="E35" s="1" t="inlineStr">
        <is>
          <t>Кирилл</t>
        </is>
      </c>
      <c r="F35" s="1" t="inlineStr">
        <is>
          <t>Крайнов Валерий</t>
        </is>
      </c>
      <c r="G35" s="1" t="inlineStr">
        <is>
          <t>Илья</t>
        </is>
      </c>
      <c r="H35" s="1" t="inlineStr">
        <is>
          <t>Валерий</t>
        </is>
      </c>
      <c r="I35" s="1" t="n"/>
      <c r="J35" s="1" t="n"/>
      <c r="K35" s="1" t="n"/>
      <c r="L35" s="1" t="n"/>
      <c r="M35" s="1" t="n"/>
      <c r="N35" s="1" t="n"/>
      <c r="O35" s="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44" t="n"/>
    </row>
    <row r="36" ht="17" customHeight="1">
      <c r="D36" s="57" t="inlineStr">
        <is>
          <t>ФИО сотрудника (-ов), консультирующего в ДЦ</t>
        </is>
      </c>
      <c r="E36" s="1" t="inlineStr">
        <is>
          <t>Кирилл</t>
        </is>
      </c>
      <c r="F36" s="1" t="inlineStr">
        <is>
          <t>Крайнов Валерий</t>
        </is>
      </c>
      <c r="G36" s="1" t="inlineStr">
        <is>
          <t>Илья</t>
        </is>
      </c>
      <c r="H36" s="1" t="inlineStr">
        <is>
          <t>Вячеслав</t>
        </is>
      </c>
      <c r="I36" s="1" t="n"/>
      <c r="J36" s="1" t="n"/>
      <c r="K36" s="1" t="n"/>
      <c r="L36" s="1" t="n"/>
      <c r="M36" s="1" t="n"/>
      <c r="N36" s="1" t="n"/>
      <c r="O36" s="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44" t="n"/>
    </row>
    <row r="37" ht="17" customHeight="1">
      <c r="D37" s="57" t="inlineStr">
        <is>
          <t>Номер телефона, который Вы использовали для проверки</t>
        </is>
      </c>
      <c r="E37" s="1" t="inlineStr">
        <is>
          <t>+79650482552</t>
        </is>
      </c>
      <c r="F37" s="1" t="inlineStr">
        <is>
          <t>8-  61-23</t>
        </is>
      </c>
      <c r="G37" s="1" t="inlineStr">
        <is>
          <t>+79217597721</t>
        </is>
      </c>
      <c r="H37" s="1" t="inlineStr">
        <is>
          <t xml:space="preserve">+79811266062 </t>
        </is>
      </c>
      <c r="I37" s="1" t="n"/>
      <c r="J37" s="1" t="n"/>
      <c r="K37" s="1" t="n"/>
      <c r="L37" s="1" t="n"/>
      <c r="M37" s="1" t="n"/>
      <c r="N37" s="1" t="n"/>
      <c r="O37" s="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44" t="n"/>
    </row>
    <row r="38" ht="17" customHeight="1">
      <c r="D38" s="57" t="inlineStr">
        <is>
          <t>Автомобиль, которым интересовался тайный покупатель</t>
        </is>
      </c>
      <c r="E38" s="1" t="inlineStr">
        <is>
          <t>Skoda Octavia</t>
        </is>
      </c>
      <c r="F38" s="1" t="inlineStr">
        <is>
          <t>Вольво S 60</t>
        </is>
      </c>
      <c r="G38" s="1" t="inlineStr">
        <is>
          <t>Jaguar F-Pace</t>
        </is>
      </c>
      <c r="H38" s="1" t="inlineStr">
        <is>
          <t>Jaguar F-Pace</t>
        </is>
      </c>
      <c r="I38" s="1" t="n"/>
      <c r="J38" s="1" t="n"/>
      <c r="K38" s="1" t="n"/>
      <c r="L38" s="1" t="n"/>
      <c r="M38" s="1" t="n"/>
      <c r="N38" s="1" t="n"/>
      <c r="O38" s="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44" t="n"/>
    </row>
    <row r="39" ht="34" customHeight="1">
      <c r="D39" s="57" t="inlineStr">
        <is>
          <t>Автомобиль, который тайный покупатель хотел обменять по системе трейд- ин</t>
        </is>
      </c>
      <c r="E39" s="1" t="inlineStr">
        <is>
          <t>Haval Jolion</t>
        </is>
      </c>
      <c r="F39" s="1" t="inlineStr">
        <is>
          <t>Лада Веста</t>
        </is>
      </c>
      <c r="G39" s="1" t="inlineStr">
        <is>
          <t>трейд-ин не обсуждали</t>
        </is>
      </c>
      <c r="H39" s="1" t="inlineStr">
        <is>
          <t>Volkswagen Polo</t>
        </is>
      </c>
      <c r="I39" s="1" t="n"/>
      <c r="J39" s="1" t="n"/>
      <c r="K39" s="1" t="n"/>
      <c r="L39" s="1" t="n"/>
      <c r="M39" s="1" t="n"/>
      <c r="N39" s="1" t="n"/>
      <c r="O39" s="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44" t="n"/>
    </row>
    <row r="40"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3" t="n"/>
    </row>
    <row r="41" ht="17" customHeight="1"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48" t="inlineStr">
        <is>
          <t>Балл</t>
        </is>
      </c>
      <c r="P41" s="69" t="inlineStr">
        <is>
          <t>Максимальный балл</t>
        </is>
      </c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</row>
    <row r="42">
      <c r="D42" s="8" t="inlineStr">
        <is>
          <t>Звонок</t>
        </is>
      </c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46">
        <f>O51</f>
        <v/>
      </c>
      <c r="P42" s="69" t="n">
        <v>15</v>
      </c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</row>
    <row r="43">
      <c r="D43" s="8" t="inlineStr">
        <is>
          <t>Парковка и инфраструктура (корпоративные стандарты)</t>
        </is>
      </c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46">
        <f>O67</f>
        <v/>
      </c>
      <c r="P43" s="69" t="n">
        <v>9</v>
      </c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</row>
    <row r="44">
      <c r="D44" s="8" t="inlineStr">
        <is>
          <t>Презентация в автосалоне</t>
        </is>
      </c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46">
        <f>O77</f>
        <v/>
      </c>
      <c r="P44" s="69" t="n">
        <v>23</v>
      </c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</row>
    <row r="45">
      <c r="D45" s="8" t="inlineStr">
        <is>
          <t>Трейд-ин и КСО</t>
        </is>
      </c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46">
        <f>O102</f>
        <v/>
      </c>
      <c r="P45" s="69" t="n">
        <v>32</v>
      </c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</row>
    <row r="46">
      <c r="D46" s="8" t="inlineStr">
        <is>
          <t>Коммерческое предложение</t>
        </is>
      </c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46">
        <f>O135</f>
        <v/>
      </c>
      <c r="P46" s="69" t="n">
        <v>5</v>
      </c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</row>
    <row r="47">
      <c r="D47" s="8" t="inlineStr">
        <is>
          <t>Завершающие шаги</t>
        </is>
      </c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46">
        <f>O142</f>
        <v/>
      </c>
      <c r="P47" s="69" t="n">
        <v>6</v>
      </c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</row>
    <row r="48" ht="34" customHeight="1">
      <c r="D48" s="10" t="inlineStr">
        <is>
          <t>Общий результат</t>
        </is>
      </c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49">
        <f>AVERAGE(O42:O47)</f>
        <v/>
      </c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  <c r="Z48" s="12">
        <f>AVERAGE(O42:O47)</f>
        <v/>
      </c>
      <c r="AA48" s="11">
        <f>SUM(P42:P47)</f>
        <v/>
      </c>
      <c r="AB48" s="50">
        <f>Z48/AA48</f>
        <v/>
      </c>
    </row>
    <row r="50" ht="26" customHeight="1">
      <c r="A50" s="13" t="inlineStr">
        <is>
          <t>№ раздела</t>
        </is>
      </c>
      <c r="B50" s="14" t="inlineStr">
        <is>
          <t>Раздел</t>
        </is>
      </c>
      <c r="C50" s="13" t="inlineStr">
        <is>
          <t>№ вопроса</t>
        </is>
      </c>
      <c r="D50" s="69" t="inlineStr">
        <is>
          <t>вопрос</t>
        </is>
      </c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37" t="inlineStr">
        <is>
          <t>баллы</t>
        </is>
      </c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9" t="inlineStr">
        <is>
          <t>комментарий ТП</t>
        </is>
      </c>
      <c r="AA50" s="69" t="inlineStr">
        <is>
          <t>оценка (%)</t>
        </is>
      </c>
      <c r="AC50" s="69" t="inlineStr">
        <is>
          <t>Требования (пояснение для ТП)</t>
        </is>
      </c>
    </row>
    <row r="51" ht="24" customHeight="1">
      <c r="A51" s="90" t="inlineStr">
        <is>
          <t>Звонок</t>
        </is>
      </c>
      <c r="B51" s="91" t="n"/>
      <c r="C51" s="91" t="n"/>
      <c r="D51" s="92" t="n"/>
      <c r="E51" s="93" t="inlineStr">
        <is>
          <t>Анкеты</t>
        </is>
      </c>
      <c r="F51" s="94" t="n"/>
      <c r="G51" s="94" t="n"/>
      <c r="H51" s="94" t="n"/>
      <c r="I51" s="94" t="n"/>
      <c r="J51" s="94" t="n"/>
      <c r="K51" s="94" t="n"/>
      <c r="L51" s="94" t="n"/>
      <c r="M51" s="94" t="n"/>
      <c r="N51" s="95" t="n"/>
      <c r="O51" s="58">
        <f>AVERAGE(O52:O66)</f>
        <v/>
      </c>
      <c r="P51" s="93" t="inlineStr">
        <is>
          <t>Комментарий</t>
        </is>
      </c>
      <c r="Q51" s="94" t="n"/>
      <c r="R51" s="94" t="n"/>
      <c r="S51" s="94" t="n"/>
      <c r="T51" s="94" t="n"/>
      <c r="U51" s="94" t="n"/>
      <c r="V51" s="94" t="n"/>
      <c r="W51" s="94" t="n"/>
      <c r="X51" s="94" t="n"/>
      <c r="Y51" s="95" t="n"/>
      <c r="Z51" s="17" t="inlineStr">
        <is>
          <t>-</t>
        </is>
      </c>
      <c r="AA51" s="18">
        <f>AVERAGE(AA52:AA66)</f>
        <v/>
      </c>
      <c r="AC51" s="19" t="n"/>
    </row>
    <row r="52" ht="34" customHeight="1">
      <c r="A52" s="63" t="n">
        <v>1</v>
      </c>
      <c r="B52" s="63" t="inlineStr">
        <is>
          <t>Приветствие</t>
        </is>
      </c>
      <c r="C52" s="63" t="n">
        <v>1</v>
      </c>
      <c r="D52" s="40" t="inlineStr">
        <is>
          <t>Сотрудник поприветствовал, представился и назвал свою должность/ДЦ</t>
        </is>
      </c>
      <c r="E52" s="63" t="n">
        <v>1</v>
      </c>
      <c r="F52" s="63" t="n">
        <v>1</v>
      </c>
      <c r="G52" s="63" t="n">
        <v>1</v>
      </c>
      <c r="H52" s="63" t="n">
        <v>1</v>
      </c>
      <c r="I52" s="63" t="n"/>
      <c r="J52" s="63" t="n"/>
      <c r="K52" s="63" t="n"/>
      <c r="L52" s="63" t="n"/>
      <c r="M52" s="63" t="n"/>
      <c r="N52" s="63" t="n"/>
      <c r="O52" s="43">
        <f>AVERAGE(E52:N52)</f>
        <v/>
      </c>
      <c r="P52" s="63" t="inlineStr">
        <is>
          <t>поприветствовал, представился, не назвал должность</t>
        </is>
      </c>
      <c r="Q52" s="63" t="inlineStr">
        <is>
          <t>поприветствовал, представился, должность не назвал</t>
        </is>
      </c>
      <c r="R52" s="63" t="inlineStr">
        <is>
          <t>поздоровался, представился</t>
        </is>
      </c>
      <c r="S52" s="63" t="inlineStr">
        <is>
          <t>сотрудник поприветствовал, представился</t>
        </is>
      </c>
      <c r="T52" s="63" t="n"/>
      <c r="U52" s="63" t="n"/>
      <c r="V52" s="63" t="n"/>
      <c r="W52" s="63" t="n"/>
      <c r="X52" s="63" t="n"/>
      <c r="Y52" s="63" t="n"/>
      <c r="Z52" s="22" t="n"/>
      <c r="AA52" s="23" t="n"/>
      <c r="AC52" s="69" t="n"/>
    </row>
    <row r="53" ht="17" customHeight="1">
      <c r="A53" s="96" t="n"/>
      <c r="B53" s="96" t="n"/>
      <c r="C53" s="63" t="n">
        <v>2</v>
      </c>
      <c r="D53" s="40" t="inlineStr">
        <is>
          <t>Узнал имя и использовал его в процессе общения</t>
        </is>
      </c>
      <c r="E53" s="63" t="n">
        <v>1</v>
      </c>
      <c r="F53" s="63" t="n">
        <v>0</v>
      </c>
      <c r="G53" s="63" t="n">
        <v>1</v>
      </c>
      <c r="H53" s="63" t="n">
        <v>1</v>
      </c>
      <c r="I53" s="63" t="n"/>
      <c r="J53" s="63" t="n"/>
      <c r="K53" s="63" t="n"/>
      <c r="L53" s="63" t="n"/>
      <c r="M53" s="63" t="n"/>
      <c r="N53" s="63" t="n"/>
      <c r="O53" s="43">
        <f>AVERAGE(E53:N53)</f>
        <v/>
      </c>
      <c r="P53" s="63" t="inlineStr">
        <is>
          <t>уточнил, как ко мне можно обращаться</t>
        </is>
      </c>
      <c r="Q53" s="63" t="inlineStr">
        <is>
          <t>я представился сам, в конце разговора</t>
        </is>
      </c>
      <c r="R53" s="63" t="inlineStr">
        <is>
          <t>узнал, как можно обращаться</t>
        </is>
      </c>
      <c r="S53" s="63" t="inlineStr">
        <is>
          <t>имя узнал в конце диалога</t>
        </is>
      </c>
      <c r="T53" s="63" t="n"/>
      <c r="U53" s="63" t="n"/>
      <c r="V53" s="63" t="n"/>
      <c r="W53" s="63" t="n"/>
      <c r="X53" s="63" t="n"/>
      <c r="Y53" s="63" t="n"/>
      <c r="Z53" s="22" t="n"/>
      <c r="AA53" s="23" t="n"/>
      <c r="AC53" s="24" t="n"/>
    </row>
    <row r="54" ht="34" customHeight="1">
      <c r="A54" s="63" t="n">
        <v>2</v>
      </c>
      <c r="B54" s="63" t="inlineStr">
        <is>
          <t>Выявление потребностей</t>
        </is>
      </c>
      <c r="C54" s="63" t="n">
        <v>1</v>
      </c>
      <c r="D54" s="40" t="inlineStr">
        <is>
          <t>Почему клиент выбрал АСП по которому звонит, либо - какие параметры выбора, что важно</t>
        </is>
      </c>
      <c r="E54" s="63" t="n">
        <v>0</v>
      </c>
      <c r="F54" s="63" t="n">
        <v>0</v>
      </c>
      <c r="G54" s="63" t="n">
        <v>1</v>
      </c>
      <c r="H54" s="63" t="n">
        <v>1</v>
      </c>
      <c r="I54" s="63" t="n"/>
      <c r="J54" s="63" t="n"/>
      <c r="K54" s="63" t="n"/>
      <c r="L54" s="63" t="n"/>
      <c r="M54" s="63" t="n"/>
      <c r="N54" s="63" t="n"/>
      <c r="O54" s="43">
        <f>AVERAGE(E54:N54)</f>
        <v/>
      </c>
      <c r="P54" s="63" t="inlineStr">
        <is>
          <t>не задавал таких вопросов</t>
        </is>
      </c>
      <c r="Q54" s="63" t="inlineStr">
        <is>
          <t>нет, мотивы выбора не уточнял</t>
        </is>
      </c>
      <c r="R54" s="63" t="inlineStr">
        <is>
          <t>да, задавал уточняющие вопросы</t>
        </is>
      </c>
      <c r="S54" s="63" t="inlineStr">
        <is>
          <t>да, уточнил, какой автомобиль интересует</t>
        </is>
      </c>
      <c r="T54" s="63" t="n"/>
      <c r="U54" s="63" t="n"/>
      <c r="V54" s="63" t="n"/>
      <c r="W54" s="63" t="n"/>
      <c r="X54" s="63" t="n"/>
      <c r="Y54" s="63" t="n"/>
      <c r="Z54" s="22" t="n"/>
      <c r="AA54" s="23" t="n"/>
      <c r="AC54" s="24" t="n"/>
    </row>
    <row r="55" ht="34" customHeight="1">
      <c r="A55" s="96" t="n"/>
      <c r="B55" s="96" t="n"/>
      <c r="C55" s="63" t="n">
        <v>2</v>
      </c>
      <c r="D55" s="40" t="inlineStr">
        <is>
          <t>Назвал два - три преимущества автомобиля (кто будет ездить, как использоваться, почему выбирает именно эту марку/модель)</t>
        </is>
      </c>
      <c r="E55" s="63" t="n">
        <v>1</v>
      </c>
      <c r="F55" s="63" t="n">
        <v>1</v>
      </c>
      <c r="G55" s="63" t="n">
        <v>0</v>
      </c>
      <c r="H55" s="63" t="n">
        <v>1</v>
      </c>
      <c r="I55" s="63" t="n"/>
      <c r="J55" s="63" t="n"/>
      <c r="K55" s="63" t="n"/>
      <c r="L55" s="63" t="n"/>
      <c r="M55" s="63" t="n"/>
      <c r="N55" s="63" t="n"/>
      <c r="O55" s="43">
        <f>AVERAGE(E55:N55)</f>
        <v/>
      </c>
      <c r="P55" s="63" t="inlineStr">
        <is>
          <t>сказал, что авто новый</t>
        </is>
      </c>
      <c r="Q55" s="63" t="inlineStr">
        <is>
          <t>да, рассказал</t>
        </is>
      </c>
      <c r="R55" s="63" t="inlineStr">
        <is>
          <t>не спрашивал для кого автомобиль</t>
        </is>
      </c>
      <c r="S55" s="63" t="inlineStr">
        <is>
          <t>озвучил преимущества и плюсы автомобиля, рассказал о его состоянии</t>
        </is>
      </c>
      <c r="T55" s="63" t="n"/>
      <c r="U55" s="63" t="n"/>
      <c r="V55" s="63" t="n"/>
      <c r="W55" s="63" t="n"/>
      <c r="X55" s="63" t="n"/>
      <c r="Y55" s="63" t="n"/>
      <c r="Z55" s="22" t="n"/>
      <c r="AA55" s="23" t="n"/>
      <c r="AC55" s="24" t="n"/>
    </row>
    <row r="56" ht="17" customHeight="1">
      <c r="A56" s="63" t="n">
        <v>3</v>
      </c>
      <c r="B56" s="63" t="inlineStr">
        <is>
          <t>Текущая ситуация</t>
        </is>
      </c>
      <c r="C56" s="63" t="n">
        <v>1</v>
      </c>
      <c r="D56" s="40" t="inlineStr">
        <is>
          <t>В случае интереса к покупке предложил Trade-in</t>
        </is>
      </c>
      <c r="E56" s="63" t="n">
        <v>0</v>
      </c>
      <c r="F56" s="63" t="n">
        <v>1</v>
      </c>
      <c r="G56" s="63" t="n">
        <v>0</v>
      </c>
      <c r="H56" s="63" t="n">
        <v>1</v>
      </c>
      <c r="I56" s="63" t="n"/>
      <c r="J56" s="63" t="n"/>
      <c r="K56" s="63" t="n"/>
      <c r="L56" s="63" t="n"/>
      <c r="M56" s="63" t="n"/>
      <c r="N56" s="63" t="n"/>
      <c r="O56" s="43">
        <f>AVERAGE(E56:N56)</f>
        <v/>
      </c>
      <c r="P56" s="63" t="inlineStr">
        <is>
          <t>не предлагал</t>
        </is>
      </c>
      <c r="Q56" s="63" t="inlineStr">
        <is>
          <t>уточнил, есть ли авто на трейд-ин</t>
        </is>
      </c>
      <c r="R56" s="63" t="inlineStr">
        <is>
          <t>трейд-ин не обсуждали</t>
        </is>
      </c>
      <c r="S56" s="63" t="inlineStr">
        <is>
          <t>уточнил, есть ли авто для трейд-ин</t>
        </is>
      </c>
      <c r="T56" s="63" t="n"/>
      <c r="U56" s="63" t="n"/>
      <c r="V56" s="63" t="n"/>
      <c r="W56" s="63" t="n"/>
      <c r="X56" s="63" t="n"/>
      <c r="Y56" s="63" t="n"/>
      <c r="Z56" s="22" t="n"/>
      <c r="AA56" s="23" t="n"/>
      <c r="AC56" s="24" t="n"/>
    </row>
    <row r="57" ht="17" customHeight="1">
      <c r="A57" s="96" t="n"/>
      <c r="B57" s="96" t="n"/>
      <c r="C57" s="63" t="n">
        <v>2</v>
      </c>
      <c r="D57" s="40" t="inlineStr">
        <is>
          <t>В случае интереса к покупке выяснил тип сделки (кредит/наличные)</t>
        </is>
      </c>
      <c r="E57" s="63" t="n">
        <v>0</v>
      </c>
      <c r="F57" s="63" t="n">
        <v>0</v>
      </c>
      <c r="G57" s="63" t="n">
        <v>0</v>
      </c>
      <c r="H57" s="63" t="n">
        <v>1</v>
      </c>
      <c r="I57" s="63" t="n"/>
      <c r="J57" s="63" t="n"/>
      <c r="K57" s="63" t="n"/>
      <c r="L57" s="63" t="n"/>
      <c r="M57" s="63" t="n"/>
      <c r="N57" s="63" t="n"/>
      <c r="O57" s="43">
        <f>AVERAGE(E57:N57)</f>
        <v/>
      </c>
      <c r="P57" s="63" t="inlineStr">
        <is>
          <t>не уточнял из своих или кредитных средств будет осуществляться покупка</t>
        </is>
      </c>
      <c r="Q57" s="63" t="inlineStr">
        <is>
          <t>нет, не уточнял свои или заемные средства будут использоваться</t>
        </is>
      </c>
      <c r="R57" s="63" t="inlineStr">
        <is>
          <t>тип сделки не обсуждали</t>
        </is>
      </c>
      <c r="S57" s="63" t="inlineStr">
        <is>
          <t>уточнил планируется ли использовать заемные средства</t>
        </is>
      </c>
      <c r="T57" s="63" t="n"/>
      <c r="U57" s="63" t="n"/>
      <c r="V57" s="63" t="n"/>
      <c r="W57" s="63" t="n"/>
      <c r="X57" s="63" t="n"/>
      <c r="Y57" s="63" t="n"/>
      <c r="Z57" s="22" t="n"/>
      <c r="AA57" s="23" t="n"/>
      <c r="AC57" s="24" t="n"/>
    </row>
    <row r="58" ht="17" customHeight="1">
      <c r="A58" s="63" t="n">
        <v>4</v>
      </c>
      <c r="B58" s="63" t="inlineStr">
        <is>
          <t>Уточнение по состоянию АСП</t>
        </is>
      </c>
      <c r="C58" s="63" t="n">
        <v>1</v>
      </c>
      <c r="D58" s="40" t="inlineStr">
        <is>
          <t>Рассказал мини-презентацию на открытый вопрос покупателя</t>
        </is>
      </c>
      <c r="E58" s="63" t="n">
        <v>0</v>
      </c>
      <c r="F58" s="63" t="n">
        <v>1</v>
      </c>
      <c r="G58" s="63" t="n">
        <v>0</v>
      </c>
      <c r="H58" s="63" t="n">
        <v>1</v>
      </c>
      <c r="I58" s="63" t="n"/>
      <c r="J58" s="63" t="n"/>
      <c r="K58" s="63" t="n"/>
      <c r="L58" s="63" t="n"/>
      <c r="M58" s="63" t="n"/>
      <c r="N58" s="63" t="n"/>
      <c r="O58" s="43">
        <f>AVERAGE(E58:N58)</f>
        <v/>
      </c>
      <c r="P58" s="63" t="inlineStr">
        <is>
          <t>нет, только про пробег сказал</t>
        </is>
      </c>
      <c r="Q58" s="63" t="inlineStr">
        <is>
          <t>да, рассказал о техническом состоянии авто</t>
        </is>
      </c>
      <c r="R58" s="63" t="inlineStr">
        <is>
          <t>по телефону обсудили только наличие авто в ДЦ</t>
        </is>
      </c>
      <c r="S58" s="63" t="inlineStr">
        <is>
          <t>рассказал про автомобиль</t>
        </is>
      </c>
      <c r="T58" s="63" t="n"/>
      <c r="U58" s="63" t="n"/>
      <c r="V58" s="63" t="n"/>
      <c r="W58" s="63" t="n"/>
      <c r="X58" s="63" t="n"/>
      <c r="Y58" s="63" t="n"/>
      <c r="Z58" s="22" t="n"/>
      <c r="AA58" s="23" t="n"/>
      <c r="AC58" s="24" t="n"/>
    </row>
    <row r="59" ht="34" customHeight="1">
      <c r="A59" s="96" t="n"/>
      <c r="B59" s="96" t="n"/>
      <c r="C59" s="63" t="n">
        <v>2</v>
      </c>
      <c r="D59" s="40" t="inlineStr">
        <is>
          <t>Ответил на вопросы честно (при визите увидели все, что сказали по телефону)</t>
        </is>
      </c>
      <c r="E59" s="63" t="n">
        <v>1</v>
      </c>
      <c r="F59" s="63" t="n">
        <v>1</v>
      </c>
      <c r="G59" s="63" t="n">
        <v>1</v>
      </c>
      <c r="H59" s="63" t="n">
        <v>1</v>
      </c>
      <c r="I59" s="63" t="n"/>
      <c r="J59" s="63" t="n"/>
      <c r="K59" s="63" t="n"/>
      <c r="L59" s="63" t="n"/>
      <c r="M59" s="63" t="n"/>
      <c r="N59" s="63" t="n"/>
      <c r="O59" s="43">
        <f>AVERAGE(E59:N59)</f>
        <v/>
      </c>
      <c r="P59" s="63" t="inlineStr">
        <is>
          <t>да, я спрашивал про пробег, сказал все честно</t>
        </is>
      </c>
      <c r="Q59" s="63" t="inlineStr">
        <is>
          <t>да, все увиденное соответствовало, рассказанному по телефону</t>
        </is>
      </c>
      <c r="R59" s="63" t="inlineStr">
        <is>
          <t>да, авто был в наличии</t>
        </is>
      </c>
      <c r="S59" s="63" t="inlineStr">
        <is>
          <t>да, все озвученное по телефону, подтвердилось в ДЦ</t>
        </is>
      </c>
      <c r="T59" s="63" t="n"/>
      <c r="U59" s="63" t="n"/>
      <c r="V59" s="63" t="n"/>
      <c r="W59" s="63" t="n"/>
      <c r="X59" s="63" t="n"/>
      <c r="Y59" s="63" t="n"/>
      <c r="Z59" s="22" t="n"/>
      <c r="AA59" s="23" t="n"/>
      <c r="AC59" s="24" t="n"/>
    </row>
    <row r="60" ht="17" customHeight="1">
      <c r="A60" s="63" t="n">
        <v>5</v>
      </c>
      <c r="B60" s="63" t="inlineStr">
        <is>
          <t>Приглашение в ДЦ</t>
        </is>
      </c>
      <c r="C60" s="63" t="n">
        <v>1</v>
      </c>
      <c r="D60" s="40" t="inlineStr">
        <is>
          <t>Взял телефон у клиента</t>
        </is>
      </c>
      <c r="E60" s="63" t="n">
        <v>1</v>
      </c>
      <c r="F60" s="63" t="n">
        <v>1</v>
      </c>
      <c r="G60" s="63" t="n">
        <v>1</v>
      </c>
      <c r="H60" s="63" t="n">
        <v>1</v>
      </c>
      <c r="I60" s="63" t="n"/>
      <c r="J60" s="63" t="n"/>
      <c r="K60" s="63" t="n"/>
      <c r="L60" s="63" t="n"/>
      <c r="M60" s="63" t="n"/>
      <c r="N60" s="63" t="n"/>
      <c r="O60" s="43">
        <f>AVERAGE(E60:N60)</f>
        <v/>
      </c>
      <c r="P60" s="63" t="inlineStr">
        <is>
          <t>да, записал телефон, прислал смс-визитку</t>
        </is>
      </c>
      <c r="Q60" s="63" t="inlineStr">
        <is>
          <t>уточнил последние цифры номера, записал</t>
        </is>
      </c>
      <c r="R60" s="63" t="inlineStr">
        <is>
          <t>записал телефон, скинул цифровую визитку</t>
        </is>
      </c>
      <c r="S60" s="63" t="inlineStr">
        <is>
          <t>прислал смс-визитку</t>
        </is>
      </c>
      <c r="T60" s="63" t="n"/>
      <c r="U60" s="63" t="n"/>
      <c r="V60" s="63" t="n"/>
      <c r="W60" s="63" t="n"/>
      <c r="X60" s="63" t="n"/>
      <c r="Y60" s="63" t="n"/>
      <c r="Z60" s="22" t="n"/>
      <c r="AA60" s="23" t="n"/>
      <c r="AC60" s="24" t="n"/>
    </row>
    <row r="61" ht="17" customHeight="1">
      <c r="A61" s="97" t="n"/>
      <c r="B61" s="97" t="n"/>
      <c r="C61" s="63" t="n">
        <v>2</v>
      </c>
      <c r="D61" s="40" t="inlineStr">
        <is>
          <t>Пригласил в шоу-рум</t>
        </is>
      </c>
      <c r="E61" s="63" t="n">
        <v>1</v>
      </c>
      <c r="F61" s="63" t="n">
        <v>1</v>
      </c>
      <c r="G61" s="63" t="n">
        <v>1</v>
      </c>
      <c r="H61" s="63" t="n">
        <v>1</v>
      </c>
      <c r="I61" s="63" t="n"/>
      <c r="J61" s="63" t="n"/>
      <c r="K61" s="63" t="n"/>
      <c r="L61" s="63" t="n"/>
      <c r="M61" s="63" t="n"/>
      <c r="N61" s="63" t="n"/>
      <c r="O61" s="43">
        <f>AVERAGE(E61:N61)</f>
        <v/>
      </c>
      <c r="P61" s="63" t="inlineStr">
        <is>
          <t>пригласил в ДЦ</t>
        </is>
      </c>
      <c r="Q61" s="63" t="inlineStr">
        <is>
          <t>нет, я сам уточнил, можно ли подъехать</t>
        </is>
      </c>
      <c r="R61" s="63" t="inlineStr">
        <is>
          <t>пригласил приехать</t>
        </is>
      </c>
      <c r="S61" s="63" t="inlineStr">
        <is>
          <t>пригласил приехать в ДЦ</t>
        </is>
      </c>
      <c r="T61" s="63" t="n"/>
      <c r="U61" s="63" t="n"/>
      <c r="V61" s="63" t="n"/>
      <c r="W61" s="63" t="n"/>
      <c r="X61" s="63" t="n"/>
      <c r="Y61" s="63" t="n"/>
      <c r="Z61" s="22" t="n"/>
      <c r="AA61" s="23" t="n"/>
      <c r="AC61" s="24" t="n"/>
    </row>
    <row r="62" ht="34" customHeight="1">
      <c r="A62" s="97" t="n"/>
      <c r="B62" s="97" t="n"/>
      <c r="C62" s="63" t="n">
        <v>3</v>
      </c>
      <c r="D62" s="40" t="inlineStr">
        <is>
          <t>Ускорение визита (проактивно предложил ближайшее время на визит)</t>
        </is>
      </c>
      <c r="E62" s="63" t="n">
        <v>1</v>
      </c>
      <c r="F62" s="63" t="inlineStr">
        <is>
          <t>N/A</t>
        </is>
      </c>
      <c r="G62" s="63" t="n">
        <v>1</v>
      </c>
      <c r="H62" s="63" t="n">
        <v>1</v>
      </c>
      <c r="I62" s="63" t="n"/>
      <c r="J62" s="63" t="n"/>
      <c r="K62" s="63" t="n"/>
      <c r="L62" s="63" t="n"/>
      <c r="M62" s="63" t="n"/>
      <c r="N62" s="63" t="n"/>
      <c r="O62" s="43">
        <f>AVERAGE(E62:N62)</f>
        <v/>
      </c>
      <c r="P62" s="63" t="inlineStr">
        <is>
          <t>да, договорились на встречу в этот же день</t>
        </is>
      </c>
      <c r="Q62" s="63" t="inlineStr">
        <is>
          <t>договоренность была на этот же день</t>
        </is>
      </c>
      <c r="R62" s="63" t="inlineStr">
        <is>
          <t>я сказал, что нахожусь не далеко и сейчас подъеду</t>
        </is>
      </c>
      <c r="S62" s="63" t="inlineStr">
        <is>
          <t>договорились, что я приеду часа через 1,5</t>
        </is>
      </c>
      <c r="T62" s="63" t="n"/>
      <c r="U62" s="63" t="n"/>
      <c r="V62" s="63" t="n"/>
      <c r="W62" s="63" t="n"/>
      <c r="X62" s="63" t="n"/>
      <c r="Y62" s="63" t="n"/>
      <c r="Z62" s="22" t="n"/>
      <c r="AA62" s="23" t="n"/>
      <c r="AC62" s="24" t="n"/>
    </row>
    <row r="63" ht="34" customHeight="1">
      <c r="A63" s="96" t="n"/>
      <c r="B63" s="96" t="n"/>
      <c r="C63" s="63" t="n">
        <v>4</v>
      </c>
      <c r="D63" s="40" t="inlineStr">
        <is>
          <t>Выяснил предпочтительный способ общения (по телефону или мессенджер)</t>
        </is>
      </c>
      <c r="E63" s="63" t="n">
        <v>0</v>
      </c>
      <c r="F63" s="63" t="n">
        <v>1</v>
      </c>
      <c r="G63" s="63" t="inlineStr">
        <is>
          <t>N/A</t>
        </is>
      </c>
      <c r="H63" s="63" t="n">
        <v>0</v>
      </c>
      <c r="I63" s="63" t="n"/>
      <c r="J63" s="63" t="n"/>
      <c r="K63" s="63" t="n"/>
      <c r="L63" s="63" t="n"/>
      <c r="M63" s="63" t="n"/>
      <c r="N63" s="63" t="n"/>
      <c r="O63" s="43">
        <f>AVERAGE(E63:N63)</f>
        <v/>
      </c>
      <c r="P63" s="63" t="inlineStr">
        <is>
          <t>нет, не уточнял</t>
        </is>
      </c>
      <c r="Q63" s="63" t="inlineStr">
        <is>
          <t>договорились на смс-визитку, так как мессенджер работает не стабильно</t>
        </is>
      </c>
      <c r="R63" s="63" t="inlineStr">
        <is>
          <t>договорились на встречу в день звонка</t>
        </is>
      </c>
      <c r="S63" s="63" t="inlineStr">
        <is>
          <t>предпочтительный способ общения не выяснял</t>
        </is>
      </c>
      <c r="T63" s="63" t="n"/>
      <c r="U63" s="63" t="n"/>
      <c r="V63" s="63" t="n"/>
      <c r="W63" s="63" t="n"/>
      <c r="X63" s="63" t="n"/>
      <c r="Y63" s="63" t="n"/>
      <c r="Z63" s="22" t="n"/>
      <c r="AA63" s="23" t="n"/>
      <c r="AC63" s="24" t="n"/>
    </row>
    <row r="64" ht="34" customHeight="1">
      <c r="A64" s="67" t="n">
        <v>6</v>
      </c>
      <c r="B64" s="68" t="inlineStr">
        <is>
          <t>Резюме</t>
        </is>
      </c>
      <c r="C64" s="68" t="n">
        <v>1</v>
      </c>
      <c r="D64" s="41" t="inlineStr">
        <is>
          <t>Резюмировал договоренности (подтвердил дату/время визита или контакта)</t>
        </is>
      </c>
      <c r="E64" s="63" t="n">
        <v>1</v>
      </c>
      <c r="F64" s="63" t="n">
        <v>1</v>
      </c>
      <c r="G64" s="63" t="n">
        <v>1</v>
      </c>
      <c r="H64" s="63" t="n">
        <v>1</v>
      </c>
      <c r="I64" s="63" t="n"/>
      <c r="J64" s="63" t="n"/>
      <c r="K64" s="63" t="n"/>
      <c r="L64" s="63" t="n"/>
      <c r="M64" s="63" t="n"/>
      <c r="N64" s="63" t="n"/>
      <c r="O64" s="43">
        <f>AVERAGE(E64:N64)</f>
        <v/>
      </c>
      <c r="P64" s="63" t="inlineStr">
        <is>
          <t>да, подытожил</t>
        </is>
      </c>
      <c r="Q64" s="63" t="inlineStr">
        <is>
          <t>да, резюмировал</t>
        </is>
      </c>
      <c r="R64" s="63" t="inlineStr">
        <is>
          <t>резюмировал договоренности</t>
        </is>
      </c>
      <c r="S64" s="63" t="inlineStr">
        <is>
          <t>да, резюмировал</t>
        </is>
      </c>
      <c r="T64" s="63" t="n"/>
      <c r="U64" s="63" t="n"/>
      <c r="V64" s="63" t="n"/>
      <c r="W64" s="63" t="n"/>
      <c r="X64" s="63" t="n"/>
      <c r="Y64" s="63" t="n"/>
      <c r="Z64" s="22" t="n"/>
      <c r="AA64" s="23" t="n"/>
      <c r="AC64" s="24" t="n"/>
    </row>
    <row r="65" ht="17" customHeight="1">
      <c r="A65" s="98" t="n"/>
      <c r="B65" s="99" t="n"/>
      <c r="C65" s="69" t="n">
        <v>2</v>
      </c>
      <c r="D65" s="42" t="inlineStr">
        <is>
          <t>Поблагодарил за звонок</t>
        </is>
      </c>
      <c r="E65" s="63" t="n">
        <v>1</v>
      </c>
      <c r="F65" s="63" t="n">
        <v>0</v>
      </c>
      <c r="G65" s="63" t="n">
        <v>1</v>
      </c>
      <c r="H65" s="63" t="n">
        <v>1</v>
      </c>
      <c r="I65" s="63" t="n"/>
      <c r="J65" s="63" t="n"/>
      <c r="K65" s="63" t="n"/>
      <c r="L65" s="63" t="n"/>
      <c r="M65" s="63" t="n"/>
      <c r="N65" s="63" t="n"/>
      <c r="O65" s="43">
        <f>AVERAGE(E65:N65)</f>
        <v/>
      </c>
      <c r="P65" s="63" t="inlineStr">
        <is>
          <t>поблагодарил за звонок</t>
        </is>
      </c>
      <c r="Q65" s="63" t="inlineStr">
        <is>
          <t>не поблагодарил</t>
        </is>
      </c>
      <c r="R65" s="63" t="inlineStr">
        <is>
          <t>поблагодарил за звонок</t>
        </is>
      </c>
      <c r="S65" s="63" t="inlineStr">
        <is>
          <t>поблагодарил за звонок</t>
        </is>
      </c>
      <c r="T65" s="63" t="n"/>
      <c r="U65" s="63" t="n"/>
      <c r="V65" s="63" t="n"/>
      <c r="W65" s="63" t="n"/>
      <c r="X65" s="63" t="n"/>
      <c r="Y65" s="63" t="n"/>
      <c r="Z65" s="22" t="n"/>
      <c r="AA65" s="23" t="n"/>
      <c r="AC65" s="24" t="n"/>
    </row>
    <row r="66" ht="34" customHeight="1">
      <c r="A66" s="69" t="n">
        <v>7</v>
      </c>
      <c r="B66" s="69" t="inlineStr">
        <is>
          <t>Повторный звонок</t>
        </is>
      </c>
      <c r="C66" s="69" t="n">
        <v>1</v>
      </c>
      <c r="D66" s="42" t="inlineStr">
        <is>
          <t>Совершил звонок-напоминание накануне визита (за день или утром в день визита)</t>
        </is>
      </c>
      <c r="E66" s="63" t="inlineStr">
        <is>
          <t>N/A</t>
        </is>
      </c>
      <c r="F66" s="63" t="inlineStr">
        <is>
          <t>N/A</t>
        </is>
      </c>
      <c r="G66" s="63" t="inlineStr">
        <is>
          <t>N/A</t>
        </is>
      </c>
      <c r="H66" s="63" t="inlineStr">
        <is>
          <t>N/A</t>
        </is>
      </c>
      <c r="I66" s="63" t="n"/>
      <c r="J66" s="63" t="n"/>
      <c r="K66" s="63" t="n"/>
      <c r="L66" s="63" t="n"/>
      <c r="M66" s="63" t="n"/>
      <c r="N66" s="63" t="n"/>
      <c r="O66" s="43">
        <f>AVERAGE(E66:N66)</f>
        <v/>
      </c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22" t="n"/>
      <c r="AA66" s="23" t="n"/>
      <c r="AC66" s="24" t="n"/>
    </row>
    <row r="67">
      <c r="A67" s="100" t="inlineStr">
        <is>
          <t>Парковка и инфраструктура (корпоративные стандарты)</t>
        </is>
      </c>
      <c r="B67" s="101" t="n"/>
      <c r="C67" s="101" t="n"/>
      <c r="D67" s="102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18">
        <f>AVERAGE(O68:O76)</f>
        <v/>
      </c>
      <c r="P67" s="89" t="inlineStr">
        <is>
          <t>туалет чистый, все исправно, неприятных запахов нет</t>
        </is>
      </c>
      <c r="Q67" s="89" t="inlineStr">
        <is>
          <t>туалет аккуратный, сантехника целая, неприятных запахов нет</t>
        </is>
      </c>
      <c r="R67" s="89" t="inlineStr">
        <is>
          <t>в туалете чисто, все исправно, неприятных запахов нет</t>
        </is>
      </c>
      <c r="S67" s="89" t="inlineStr">
        <is>
          <t>туалет чистый, аккуратный, неприятных запахов нет, сантехника исправна.</t>
        </is>
      </c>
      <c r="T67" s="89" t="n"/>
      <c r="U67" s="89" t="n"/>
      <c r="V67" s="89" t="n"/>
      <c r="W67" s="89" t="n"/>
      <c r="X67" s="89" t="n"/>
      <c r="Y67" s="89" t="n"/>
      <c r="Z67" s="29" t="n"/>
      <c r="AA67" s="30">
        <f>AVERAGE(AA68:AA76)</f>
        <v/>
      </c>
      <c r="AC67" s="19" t="n"/>
    </row>
    <row r="68" ht="17" customHeight="1">
      <c r="A68" s="69" t="n">
        <v>8</v>
      </c>
      <c r="B68" s="69" t="inlineStr">
        <is>
          <t>Внешняя территория</t>
        </is>
      </c>
      <c r="C68" s="69" t="n">
        <v>1</v>
      </c>
      <c r="D68" s="24" t="inlineStr">
        <is>
          <t>Парковочное место было доступно</t>
        </is>
      </c>
      <c r="E68" s="63" t="n">
        <v>0</v>
      </c>
      <c r="F68" s="63" t="n">
        <v>1</v>
      </c>
      <c r="G68" s="63" t="n">
        <v>1</v>
      </c>
      <c r="H68" s="63" t="n">
        <v>1</v>
      </c>
      <c r="I68" s="63" t="n"/>
      <c r="J68" s="63" t="n"/>
      <c r="K68" s="63" t="n"/>
      <c r="L68" s="63" t="n"/>
      <c r="M68" s="63" t="n"/>
      <c r="N68" s="63" t="n"/>
      <c r="O68" s="43">
        <f>AVERAGE(E68:N68)</f>
        <v/>
      </c>
      <c r="P68" s="63" t="inlineStr">
        <is>
          <t>на парковке не было свободных мест</t>
        </is>
      </c>
      <c r="Q68" s="63" t="inlineStr">
        <is>
          <t>да, на парковке были свободные места</t>
        </is>
      </c>
      <c r="R68" s="63" t="inlineStr">
        <is>
          <t>на парковке были свободные парковочные места</t>
        </is>
      </c>
      <c r="S68" s="63" t="inlineStr">
        <is>
          <t>на парковке были свободные места</t>
        </is>
      </c>
      <c r="T68" s="63" t="n"/>
      <c r="U68" s="63" t="n"/>
      <c r="V68" s="63" t="n"/>
      <c r="W68" s="63" t="n"/>
      <c r="X68" s="63" t="n"/>
      <c r="Y68" s="63" t="n"/>
      <c r="Z68" s="28" t="n"/>
      <c r="AA68" s="23" t="n"/>
      <c r="AC68" s="24" t="n"/>
    </row>
    <row r="69" ht="17" customHeight="1">
      <c r="A69" s="98" t="n"/>
      <c r="B69" s="98" t="n"/>
      <c r="C69" s="69" t="n">
        <v>2</v>
      </c>
      <c r="D69" s="24" t="inlineStr">
        <is>
          <t>Вход в дилерский центр легко найти</t>
        </is>
      </c>
      <c r="E69" s="63" t="n">
        <v>1</v>
      </c>
      <c r="F69" s="63" t="n">
        <v>1</v>
      </c>
      <c r="G69" s="63" t="n">
        <v>1</v>
      </c>
      <c r="H69" s="63" t="n">
        <v>1</v>
      </c>
      <c r="I69" s="63" t="n"/>
      <c r="J69" s="63" t="n"/>
      <c r="K69" s="63" t="n"/>
      <c r="L69" s="63" t="n"/>
      <c r="M69" s="63" t="n"/>
      <c r="N69" s="63" t="n"/>
      <c r="O69" s="43">
        <f>AVERAGE(E69:N69)</f>
        <v/>
      </c>
      <c r="P69" s="63" t="inlineStr">
        <is>
          <t>да, вход найти легко</t>
        </is>
      </c>
      <c r="Q69" s="63" t="inlineStr">
        <is>
          <t>вход в ДЦ найти легко</t>
        </is>
      </c>
      <c r="R69" s="63" t="inlineStr">
        <is>
          <t>вход найти легко</t>
        </is>
      </c>
      <c r="S69" s="63" t="inlineStr">
        <is>
          <t>вход в ДЦ найти легко</t>
        </is>
      </c>
      <c r="T69" s="63" t="n"/>
      <c r="U69" s="63" t="n"/>
      <c r="V69" s="63" t="n"/>
      <c r="W69" s="63" t="n"/>
      <c r="X69" s="63" t="n"/>
      <c r="Y69" s="63" t="n"/>
      <c r="Z69" s="28" t="n"/>
      <c r="AA69" s="23" t="n"/>
      <c r="AC69" s="24" t="n"/>
    </row>
    <row r="70" ht="17" customHeight="1">
      <c r="A70" s="99" t="n"/>
      <c r="B70" s="99" t="n"/>
      <c r="C70" s="69" t="n">
        <v>3</v>
      </c>
      <c r="D70" s="24" t="inlineStr">
        <is>
          <t>Здание дилерского центра и прилегающая территория чистые</t>
        </is>
      </c>
      <c r="E70" s="63" t="n">
        <v>1</v>
      </c>
      <c r="F70" s="63" t="n">
        <v>1</v>
      </c>
      <c r="G70" s="63" t="n">
        <v>1</v>
      </c>
      <c r="H70" s="63" t="n">
        <v>1</v>
      </c>
      <c r="I70" s="63" t="n"/>
      <c r="J70" s="63" t="n"/>
      <c r="K70" s="63" t="n"/>
      <c r="L70" s="63" t="n"/>
      <c r="M70" s="63" t="n"/>
      <c r="N70" s="63" t="n"/>
      <c r="O70" s="43">
        <f>AVERAGE(E70:N70)</f>
        <v/>
      </c>
      <c r="P70" s="63" t="inlineStr">
        <is>
          <t>территория и здание чистые, аккуратные</t>
        </is>
      </c>
      <c r="Q70" s="63" t="inlineStr">
        <is>
          <t>территория и здание чистые</t>
        </is>
      </c>
      <c r="R70" s="63" t="inlineStr">
        <is>
          <t>здание, парковка, прилегающая территория чистые</t>
        </is>
      </c>
      <c r="S70" s="63" t="inlineStr">
        <is>
          <t>здание и территория чистые</t>
        </is>
      </c>
      <c r="T70" s="63" t="n"/>
      <c r="U70" s="63" t="n"/>
      <c r="V70" s="63" t="n"/>
      <c r="W70" s="63" t="n"/>
      <c r="X70" s="63" t="n"/>
      <c r="Y70" s="63" t="n"/>
      <c r="Z70" s="32" t="n"/>
      <c r="AA70" s="23" t="n"/>
      <c r="AC70" s="24" t="n"/>
    </row>
    <row r="71" ht="34" customHeight="1">
      <c r="A71" s="69" t="n">
        <v>9</v>
      </c>
      <c r="B71" s="69" t="inlineStr">
        <is>
          <t>Стандарты шоу-рум</t>
        </is>
      </c>
      <c r="C71" s="69" t="n">
        <v>1</v>
      </c>
      <c r="D71" s="24" t="inlineStr">
        <is>
          <t>Внутреннее оснащение дилерского центра поддерживается в аккуратном состоянии и чистоте</t>
        </is>
      </c>
      <c r="E71" s="63" t="n">
        <v>1</v>
      </c>
      <c r="F71" s="63" t="n">
        <v>1</v>
      </c>
      <c r="G71" s="63" t="n">
        <v>1</v>
      </c>
      <c r="H71" s="63" t="n">
        <v>1</v>
      </c>
      <c r="I71" s="63" t="n"/>
      <c r="J71" s="63" t="n"/>
      <c r="K71" s="63" t="n"/>
      <c r="L71" s="63" t="n"/>
      <c r="M71" s="63" t="n"/>
      <c r="N71" s="63" t="n"/>
      <c r="O71" s="43">
        <f>AVERAGE(E71:N71)</f>
        <v/>
      </c>
      <c r="P71" s="63" t="inlineStr">
        <is>
          <t>в ДЦ чисто, аккуратно</t>
        </is>
      </c>
      <c r="Q71" s="63" t="inlineStr">
        <is>
          <t>в ДЦ чисто, аккуратно</t>
        </is>
      </c>
      <c r="R71" s="63" t="inlineStr">
        <is>
          <t>в шоу-руме чисто, аккуратно</t>
        </is>
      </c>
      <c r="S71" s="63" t="inlineStr">
        <is>
          <t>в ДЦ чисто и аккуратно</t>
        </is>
      </c>
      <c r="T71" s="63" t="n"/>
      <c r="U71" s="63" t="n"/>
      <c r="V71" s="63" t="n"/>
      <c r="W71" s="63" t="n"/>
      <c r="X71" s="63" t="n"/>
      <c r="Y71" s="63" t="n"/>
      <c r="Z71" s="28" t="n"/>
      <c r="AA71" s="23" t="n"/>
      <c r="AC71" s="24" t="n"/>
    </row>
    <row r="72" ht="34" customHeight="1">
      <c r="A72" s="98" t="n"/>
      <c r="B72" s="98" t="n"/>
      <c r="C72" s="69" t="n">
        <v>2</v>
      </c>
      <c r="D72" s="24" t="inlineStr">
        <is>
          <t>В шоуруме комфортно находиться  (освещение, запах, температура, музыкальный фон и.т.д.)</t>
        </is>
      </c>
      <c r="E72" s="63" t="n">
        <v>1</v>
      </c>
      <c r="F72" s="63" t="n">
        <v>1</v>
      </c>
      <c r="G72" s="63" t="n">
        <v>1</v>
      </c>
      <c r="H72" s="63" t="n">
        <v>1</v>
      </c>
      <c r="I72" s="63" t="n"/>
      <c r="J72" s="63" t="n"/>
      <c r="K72" s="63" t="n"/>
      <c r="L72" s="63" t="n"/>
      <c r="M72" s="63" t="n"/>
      <c r="N72" s="63" t="n"/>
      <c r="O72" s="43">
        <f>AVERAGE(E72:N72)</f>
        <v/>
      </c>
      <c r="P72" s="63" t="inlineStr">
        <is>
          <t>комфортный уровень освещения, температуры и музыки</t>
        </is>
      </c>
      <c r="Q72" s="63" t="inlineStr">
        <is>
          <t>в ДЦ комфортный уровень освещения, запахов, температуры.</t>
        </is>
      </c>
      <c r="R72" s="63" t="inlineStr">
        <is>
          <t>в шоу-руме светло, нет неприятных запахов, комфортный уровень музыки и температуры</t>
        </is>
      </c>
      <c r="S72" s="63" t="inlineStr">
        <is>
          <t>в ДЦ комфортный уровень освещения, температуры, нет неприятных запахов, отсутствует громкая музыка</t>
        </is>
      </c>
      <c r="T72" s="63" t="n"/>
      <c r="U72" s="63" t="n"/>
      <c r="V72" s="63" t="n"/>
      <c r="W72" s="63" t="n"/>
      <c r="X72" s="63" t="n"/>
      <c r="Y72" s="63" t="n"/>
      <c r="Z72" s="28" t="n"/>
      <c r="AA72" s="23" t="n"/>
      <c r="AC72" s="24" t="n"/>
    </row>
    <row r="73" ht="34" customHeight="1">
      <c r="A73" s="98" t="n"/>
      <c r="B73" s="98" t="n"/>
      <c r="C73" s="69" t="n">
        <v>3</v>
      </c>
      <c r="D73" s="24" t="inlineStr">
        <is>
          <t>Стойка ресепшн организована аккуратно, отсутствуют посторонние предметы.</t>
        </is>
      </c>
      <c r="E73" s="63" t="n">
        <v>1</v>
      </c>
      <c r="F73" s="63" t="n">
        <v>1</v>
      </c>
      <c r="G73" s="63" t="n">
        <v>1</v>
      </c>
      <c r="H73" s="63" t="n">
        <v>1</v>
      </c>
      <c r="I73" s="63" t="n"/>
      <c r="J73" s="63" t="n"/>
      <c r="K73" s="63" t="n"/>
      <c r="L73" s="63" t="n"/>
      <c r="M73" s="63" t="n"/>
      <c r="N73" s="63" t="n"/>
      <c r="O73" s="43">
        <f>AVERAGE(E73:N73)</f>
        <v/>
      </c>
      <c r="P73" s="63" t="inlineStr">
        <is>
          <t>стойка аккуратная, посторонних предметов, личных вещей нет</t>
        </is>
      </c>
      <c r="Q73" s="63" t="inlineStr">
        <is>
          <t>ресепшн аккуратный, посторонних предметов нет</t>
        </is>
      </c>
      <c r="R73" s="63" t="inlineStr">
        <is>
          <t>стойка аккуратная, посторонних предметов нет</t>
        </is>
      </c>
      <c r="S73" s="63" t="inlineStr">
        <is>
          <t>ресепшн аккуратный, отсутствуют посторонние предметы и личные вещи.</t>
        </is>
      </c>
      <c r="T73" s="63" t="n"/>
      <c r="U73" s="63" t="n"/>
      <c r="V73" s="63" t="n"/>
      <c r="W73" s="63" t="n"/>
      <c r="X73" s="63" t="n"/>
      <c r="Y73" s="63" t="n"/>
      <c r="Z73" s="28" t="n"/>
      <c r="AA73" s="23" t="n"/>
      <c r="AC73" s="24" t="n"/>
    </row>
    <row r="74" ht="34" customHeight="1">
      <c r="A74" s="99" t="n"/>
      <c r="B74" s="99" t="n"/>
      <c r="C74" s="69" t="n">
        <v>4</v>
      </c>
      <c r="D74" s="24" t="inlineStr">
        <is>
          <t>Рабочие места сотрудников организованы аккуратно, отсутствуют посторонние предметы, личные вещи</t>
        </is>
      </c>
      <c r="E74" s="63" t="n">
        <v>1</v>
      </c>
      <c r="F74" s="63" t="n">
        <v>0</v>
      </c>
      <c r="G74" s="63" t="n">
        <v>1</v>
      </c>
      <c r="H74" s="63" t="n">
        <v>1</v>
      </c>
      <c r="I74" s="63" t="n"/>
      <c r="J74" s="63" t="n"/>
      <c r="K74" s="63" t="n"/>
      <c r="L74" s="63" t="n"/>
      <c r="M74" s="63" t="n"/>
      <c r="N74" s="63" t="n"/>
      <c r="O74" s="43">
        <f>AVERAGE(E74:N74)</f>
        <v/>
      </c>
      <c r="P74" s="63" t="inlineStr">
        <is>
          <t>рабочие места аккуратные, посторонних предметов, личных вещей нет</t>
        </is>
      </c>
      <c r="Q74" s="63" t="inlineStr">
        <is>
          <t>рабочие места не аккуратные, на столах посторонние предметы</t>
        </is>
      </c>
      <c r="R74" s="63" t="inlineStr">
        <is>
          <t>на рабочих местах сотрудников посторонних предметов нет, все чисто и аккуратно</t>
        </is>
      </c>
      <c r="S74" s="63" t="inlineStr">
        <is>
          <t>рабочие места аккуратные, нет посторонних предметов, личных вещей</t>
        </is>
      </c>
      <c r="T74" s="63" t="n"/>
      <c r="U74" s="63" t="n"/>
      <c r="V74" s="63" t="n"/>
      <c r="W74" s="63" t="n"/>
      <c r="X74" s="63" t="n"/>
      <c r="Y74" s="63" t="n"/>
      <c r="Z74" s="28" t="n"/>
      <c r="AA74" s="23" t="n"/>
      <c r="AC74" s="24" t="n"/>
    </row>
    <row r="75" ht="34" customHeight="1">
      <c r="A75" s="69" t="n">
        <v>10</v>
      </c>
      <c r="B75" s="69" t="inlineStr">
        <is>
          <t>Зоны для клиентов</t>
        </is>
      </c>
      <c r="C75" s="69" t="n">
        <v>1</v>
      </c>
      <c r="D75" s="24" t="inlineStr">
        <is>
          <t>Клиентская зона поддерживается в аккуратном состоянии. Мебель без видимых повреждений</t>
        </is>
      </c>
      <c r="E75" s="63" t="n">
        <v>1</v>
      </c>
      <c r="F75" s="63" t="n">
        <v>1</v>
      </c>
      <c r="G75" s="63" t="n">
        <v>1</v>
      </c>
      <c r="H75" s="63" t="n">
        <v>1</v>
      </c>
      <c r="I75" s="63" t="n"/>
      <c r="J75" s="63" t="n"/>
      <c r="K75" s="63" t="n"/>
      <c r="L75" s="63" t="n"/>
      <c r="M75" s="63" t="n"/>
      <c r="N75" s="63" t="n"/>
      <c r="O75" s="43">
        <f>AVERAGE(E75:N75)</f>
        <v/>
      </c>
      <c r="P75" s="63" t="inlineStr">
        <is>
          <t>клиентская зона чистая, аккуратная, мебель целая</t>
        </is>
      </c>
      <c r="Q75" s="63" t="inlineStr">
        <is>
          <t>клиентская зона аккуратная, мебель целая, посторонних предметов нет</t>
        </is>
      </c>
      <c r="R75" s="63" t="inlineStr">
        <is>
          <t>мебель целая, клиентская зона в аккуратном состоянии</t>
        </is>
      </c>
      <c r="S75" s="63" t="inlineStr">
        <is>
          <t>Клиентская зона аккуратная, чистая. Мебель без повреждений</t>
        </is>
      </c>
      <c r="T75" s="63" t="n"/>
      <c r="U75" s="63" t="n"/>
      <c r="V75" s="63" t="n"/>
      <c r="W75" s="63" t="n"/>
      <c r="X75" s="63" t="n"/>
      <c r="Y75" s="63" t="n"/>
      <c r="Z75" s="28" t="n"/>
      <c r="AA75" s="23" t="n"/>
      <c r="AC75" s="24" t="n"/>
    </row>
    <row r="76" ht="34" customHeight="1">
      <c r="A76" s="99" t="n"/>
      <c r="B76" s="99" t="n"/>
      <c r="C76" s="69" t="n">
        <v>2</v>
      </c>
      <c r="D76" s="24" t="inlineStr">
        <is>
          <t>Туалет поддерживается в аккуратном состоянии и чистоте, оборудование в исправном состоянии.</t>
        </is>
      </c>
      <c r="E76" s="63" t="n">
        <v>1</v>
      </c>
      <c r="F76" s="63" t="n">
        <v>1</v>
      </c>
      <c r="G76" s="63" t="n">
        <v>1</v>
      </c>
      <c r="H76" s="63" t="n">
        <v>1</v>
      </c>
      <c r="I76" s="63" t="n"/>
      <c r="J76" s="63" t="n"/>
      <c r="K76" s="63" t="n"/>
      <c r="L76" s="63" t="n"/>
      <c r="M76" s="63" t="n"/>
      <c r="N76" s="63" t="n"/>
      <c r="O76" s="43">
        <f>AVERAGE(E76:N76)</f>
        <v/>
      </c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28" t="n"/>
      <c r="AA76" s="23" t="n"/>
      <c r="AC76" s="24" t="n"/>
    </row>
    <row r="77">
      <c r="A77" s="103" t="inlineStr">
        <is>
          <t>Презентация в автосалоне</t>
        </is>
      </c>
      <c r="B77" s="91" t="n"/>
      <c r="C77" s="91" t="n"/>
      <c r="D77" s="92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18">
        <f>AVERAGE(O79:O101)</f>
        <v/>
      </c>
      <c r="P77" s="76" t="inlineStr">
        <is>
          <t>да, предложил посчитать кредит</t>
        </is>
      </c>
      <c r="Q77" s="76" t="inlineStr">
        <is>
          <t>да, продавец пригласил пройти к своему столу</t>
        </is>
      </c>
      <c r="R77" s="76" t="inlineStr">
        <is>
          <t>предложения альтернативы не было</t>
        </is>
      </c>
      <c r="S77" s="76" t="inlineStr">
        <is>
          <t>не пригласил, так как я ушла думать, принимать решение</t>
        </is>
      </c>
      <c r="T77" s="76" t="n"/>
      <c r="U77" s="76" t="n"/>
      <c r="V77" s="76" t="n"/>
      <c r="W77" s="76" t="n"/>
      <c r="X77" s="76" t="n"/>
      <c r="Y77" s="76" t="n"/>
      <c r="Z77" s="29" t="n"/>
      <c r="AA77" s="30">
        <f>AVERAGE(AA79:AA101)</f>
        <v/>
      </c>
      <c r="AC77" s="19" t="n"/>
    </row>
    <row r="78" ht="34" customHeight="1">
      <c r="A78" s="63" t="n">
        <v>11</v>
      </c>
      <c r="B78" s="63" t="inlineStr">
        <is>
          <t>Приветствие и small talk</t>
        </is>
      </c>
      <c r="C78" s="63" t="n">
        <v>1</v>
      </c>
      <c r="D78" s="21" t="inlineStr">
        <is>
          <t>Ожидание продавца заняло не более 3х минут с момента входа в автосалон</t>
        </is>
      </c>
      <c r="E78" s="63" t="n">
        <v>1</v>
      </c>
      <c r="F78" s="63" t="n">
        <v>1</v>
      </c>
      <c r="G78" s="63" t="n">
        <v>1</v>
      </c>
      <c r="H78" s="63" t="n">
        <v>0</v>
      </c>
      <c r="I78" s="63" t="n"/>
      <c r="J78" s="63" t="n"/>
      <c r="K78" s="63" t="n"/>
      <c r="L78" s="63" t="n"/>
      <c r="M78" s="63" t="n"/>
      <c r="N78" s="63" t="n"/>
      <c r="O78" s="43">
        <f>AVERAGE(E78:N78)</f>
        <v/>
      </c>
      <c r="P78" s="63" t="inlineStr">
        <is>
          <t>продавец ждал меня недалеко от входа</t>
        </is>
      </c>
      <c r="Q78" s="63" t="inlineStr">
        <is>
          <t>ожидания не было, продавец встречал</t>
        </is>
      </c>
      <c r="R78" s="63" t="inlineStr">
        <is>
          <t>продавец быстро подошел</t>
        </is>
      </c>
      <c r="S78" s="63" t="inlineStr">
        <is>
          <t>продавец был на месте, но он был в ДЦ один и не мог уйти, что бы показать авто. 15 минут ждали, когда приедет второй сотрудник</t>
        </is>
      </c>
      <c r="T78" s="63" t="n"/>
      <c r="U78" s="63" t="n"/>
      <c r="V78" s="63" t="n"/>
      <c r="W78" s="63" t="n"/>
      <c r="X78" s="63" t="n"/>
      <c r="Y78" s="63" t="n"/>
      <c r="Z78" s="22" t="n"/>
      <c r="AA78" s="23" t="n"/>
      <c r="AC78" s="24" t="n"/>
    </row>
    <row r="79" ht="17" customHeight="1">
      <c r="A79" s="97" t="n"/>
      <c r="B79" s="97" t="n"/>
      <c r="C79" s="63" t="n">
        <v>2</v>
      </c>
      <c r="D79" s="21" t="inlineStr">
        <is>
          <t>Продавец представился по имени</t>
        </is>
      </c>
      <c r="E79" s="63" t="n">
        <v>1</v>
      </c>
      <c r="F79" s="63" t="n">
        <v>0</v>
      </c>
      <c r="G79" s="63" t="n">
        <v>1</v>
      </c>
      <c r="H79" s="63" t="n">
        <v>1</v>
      </c>
      <c r="I79" s="63" t="n"/>
      <c r="J79" s="63" t="n"/>
      <c r="K79" s="63" t="n"/>
      <c r="L79" s="63" t="n"/>
      <c r="M79" s="63" t="n"/>
      <c r="N79" s="63" t="n"/>
      <c r="O79" s="43">
        <f>AVERAGE(E79:N79)</f>
        <v/>
      </c>
      <c r="P79" s="63" t="inlineStr">
        <is>
          <t>представился</t>
        </is>
      </c>
      <c r="Q79" s="63" t="inlineStr">
        <is>
          <t>нет, не представился</t>
        </is>
      </c>
      <c r="R79" s="63" t="inlineStr">
        <is>
          <t>представился</t>
        </is>
      </c>
      <c r="S79" s="63" t="inlineStr">
        <is>
          <t>представился</t>
        </is>
      </c>
      <c r="T79" s="63" t="n"/>
      <c r="U79" s="63" t="n"/>
      <c r="V79" s="63" t="n"/>
      <c r="W79" s="63" t="n"/>
      <c r="X79" s="63" t="n"/>
      <c r="Y79" s="63" t="n"/>
      <c r="Z79" s="22" t="n"/>
      <c r="AA79" s="23" t="n"/>
      <c r="AC79" s="24" t="n"/>
    </row>
    <row r="80" ht="17" customHeight="1">
      <c r="A80" s="97" t="n"/>
      <c r="B80" s="97" t="n"/>
      <c r="C80" s="63" t="n">
        <v>3</v>
      </c>
      <c r="D80" s="21" t="inlineStr">
        <is>
          <t>Продавец имеет опрятный внешний вид и чистую обувь, есть бейдж</t>
        </is>
      </c>
      <c r="E80" s="63" t="n">
        <v>1</v>
      </c>
      <c r="F80" s="63" t="n">
        <v>1</v>
      </c>
      <c r="G80" s="63" t="n">
        <v>1</v>
      </c>
      <c r="H80" s="63" t="n">
        <v>1</v>
      </c>
      <c r="I80" s="63" t="n"/>
      <c r="J80" s="63" t="n"/>
      <c r="K80" s="63" t="n"/>
      <c r="L80" s="63" t="n"/>
      <c r="M80" s="63" t="n"/>
      <c r="N80" s="63" t="n"/>
      <c r="O80" s="43">
        <f>AVERAGE(E80:N80)</f>
        <v/>
      </c>
      <c r="P80" s="63" t="inlineStr">
        <is>
          <t>продавец чисто, аккуратно одет, обувь в порядке</t>
        </is>
      </c>
      <c r="Q80" s="63" t="inlineStr">
        <is>
          <t>продавец аккуратный, опрятный, обувь чистая, бейдж есть</t>
        </is>
      </c>
      <c r="R80" s="63" t="inlineStr">
        <is>
          <t>продавец опрятен, обувь чистая, бейдж есть</t>
        </is>
      </c>
      <c r="S80" s="63" t="inlineStr">
        <is>
          <t>продавец опрятный, обувь чистая, бейдж в наличии</t>
        </is>
      </c>
      <c r="T80" s="63" t="n"/>
      <c r="U80" s="63" t="n"/>
      <c r="V80" s="63" t="n"/>
      <c r="W80" s="63" t="n"/>
      <c r="X80" s="63" t="n"/>
      <c r="Y80" s="63" t="n"/>
      <c r="Z80" s="22" t="n"/>
      <c r="AA80" s="23" t="n"/>
      <c r="AC80" s="24" t="n"/>
    </row>
    <row r="81" ht="17" customHeight="1">
      <c r="A81" s="97" t="n"/>
      <c r="B81" s="97" t="n"/>
      <c r="C81" s="63" t="n">
        <v>4</v>
      </c>
      <c r="D81" s="21" t="inlineStr">
        <is>
          <t>Уточнил как можно обращаться к клиенту</t>
        </is>
      </c>
      <c r="E81" s="63" t="n">
        <v>1</v>
      </c>
      <c r="F81" s="63" t="n">
        <v>0</v>
      </c>
      <c r="G81" s="63" t="n">
        <v>1</v>
      </c>
      <c r="H81" s="63" t="n">
        <v>1</v>
      </c>
      <c r="I81" s="63" t="n"/>
      <c r="J81" s="63" t="n"/>
      <c r="K81" s="63" t="n"/>
      <c r="L81" s="63" t="n"/>
      <c r="M81" s="63" t="n"/>
      <c r="N81" s="63" t="n"/>
      <c r="O81" s="43">
        <f>AVERAGE(E81:N81)</f>
        <v/>
      </c>
      <c r="P81" s="63" t="inlineStr">
        <is>
          <t>уточнил имя</t>
        </is>
      </c>
      <c r="Q81" s="63" t="inlineStr">
        <is>
          <t>нет, не спрашивал</t>
        </is>
      </c>
      <c r="R81" s="63" t="inlineStr">
        <is>
          <t>да, уточнил</t>
        </is>
      </c>
      <c r="S81" s="63" t="inlineStr">
        <is>
          <t>уточнил</t>
        </is>
      </c>
      <c r="T81" s="63" t="n"/>
      <c r="U81" s="63" t="n"/>
      <c r="V81" s="63" t="n"/>
      <c r="W81" s="63" t="n"/>
      <c r="X81" s="63" t="n"/>
      <c r="Y81" s="63" t="n"/>
      <c r="Z81" s="22" t="n"/>
      <c r="AA81" s="23" t="n"/>
      <c r="AC81" s="24" t="n"/>
    </row>
    <row r="82" ht="34" customHeight="1">
      <c r="A82" s="96" t="n"/>
      <c r="B82" s="96" t="n"/>
      <c r="C82" s="63" t="n">
        <v>5</v>
      </c>
      <c r="D82" s="21" t="inlineStr">
        <is>
          <t>Небольшой разговор (small-talk) для создания непринужденной беседы</t>
        </is>
      </c>
      <c r="E82" s="63" t="n">
        <v>1</v>
      </c>
      <c r="F82" s="63" t="n">
        <v>1</v>
      </c>
      <c r="G82" s="63" t="n">
        <v>1</v>
      </c>
      <c r="H82" s="63" t="n">
        <v>1</v>
      </c>
      <c r="I82" s="63" t="n"/>
      <c r="J82" s="63" t="n"/>
      <c r="K82" s="63" t="n"/>
      <c r="L82" s="63" t="n"/>
      <c r="M82" s="63" t="n"/>
      <c r="N82" s="63" t="n"/>
      <c r="O82" s="43">
        <f>AVERAGE(E82:N82)</f>
        <v/>
      </c>
      <c r="P82" s="63" t="inlineStr">
        <is>
          <t>да, продавец спокойно, непринужденно общался</t>
        </is>
      </c>
      <c r="Q82" s="63" t="inlineStr">
        <is>
          <t>продавец общительный, доброжелательный</t>
        </is>
      </c>
      <c r="R82" s="63" t="inlineStr">
        <is>
          <t>продавец непринужденно общался</t>
        </is>
      </c>
      <c r="S82" s="63" t="inlineStr">
        <is>
          <t>сотрудник непринужденно общался</t>
        </is>
      </c>
      <c r="T82" s="63" t="n"/>
      <c r="U82" s="63" t="n"/>
      <c r="V82" s="63" t="n"/>
      <c r="W82" s="63" t="n"/>
      <c r="X82" s="63" t="n"/>
      <c r="Y82" s="63" t="n"/>
      <c r="Z82" s="22" t="n"/>
      <c r="AA82" s="23" t="n"/>
      <c r="AC82" s="24" t="n"/>
    </row>
    <row r="83" ht="34" customHeight="1">
      <c r="A83" s="63" t="n">
        <v>12</v>
      </c>
      <c r="B83" s="63" t="inlineStr">
        <is>
          <t>Уточнение потребностей и выбор для сравнения</t>
        </is>
      </c>
      <c r="C83" s="63" t="n">
        <v>1</v>
      </c>
      <c r="D83" s="21" t="inlineStr">
        <is>
          <t>Продавец уточнил какой автомобиль клиента интересует (тот же что при звонке или другой)</t>
        </is>
      </c>
      <c r="E83" s="63" t="n">
        <v>1</v>
      </c>
      <c r="F83" s="63" t="n">
        <v>0</v>
      </c>
      <c r="G83" s="63" t="n">
        <v>1</v>
      </c>
      <c r="H83" s="63" t="n">
        <v>1</v>
      </c>
      <c r="I83" s="63" t="n"/>
      <c r="J83" s="63" t="n"/>
      <c r="K83" s="63" t="n"/>
      <c r="L83" s="63" t="n"/>
      <c r="M83" s="63" t="n"/>
      <c r="N83" s="63" t="n"/>
      <c r="O83" s="43">
        <f>AVERAGE(E83:N83)</f>
        <v/>
      </c>
      <c r="P83" s="63" t="inlineStr">
        <is>
          <t>да, уточнил</t>
        </is>
      </c>
      <c r="Q83" s="63" t="inlineStr">
        <is>
          <t>нет, не уточнял</t>
        </is>
      </c>
      <c r="R83" s="63" t="inlineStr">
        <is>
          <t>уточнил, проводил на парковку</t>
        </is>
      </c>
      <c r="S83" s="63" t="inlineStr">
        <is>
          <t>да, уточнил</t>
        </is>
      </c>
      <c r="T83" s="63" t="n"/>
      <c r="U83" s="63" t="n"/>
      <c r="V83" s="63" t="n"/>
      <c r="W83" s="63" t="n"/>
      <c r="X83" s="63" t="n"/>
      <c r="Y83" s="63" t="n"/>
      <c r="Z83" s="22" t="n"/>
      <c r="AA83" s="23" t="n"/>
      <c r="AC83" s="24" t="n"/>
    </row>
    <row r="84" ht="51" customHeight="1">
      <c r="A84" s="97" t="n"/>
      <c r="B84" s="97" t="n"/>
      <c r="C84" s="63" t="n">
        <v>2</v>
      </c>
      <c r="D84" s="21" t="inlineStr">
        <is>
          <t>Если ранее не было общения по звонку, то продавец задал несколько открытых вопросов, чтобы выявить потребности клиента (бюджет, сегмент, на чем ездили итд)</t>
        </is>
      </c>
      <c r="E84" s="63" t="inlineStr">
        <is>
          <t>N/A</t>
        </is>
      </c>
      <c r="F84" s="63" t="inlineStr">
        <is>
          <t>N/A</t>
        </is>
      </c>
      <c r="G84" s="63" t="inlineStr">
        <is>
          <t>N/A</t>
        </is>
      </c>
      <c r="H84" s="63" t="inlineStr">
        <is>
          <t>N/A</t>
        </is>
      </c>
      <c r="I84" s="63" t="n"/>
      <c r="J84" s="63" t="n"/>
      <c r="K84" s="63" t="n"/>
      <c r="L84" s="63" t="n"/>
      <c r="M84" s="63" t="n"/>
      <c r="N84" s="63" t="n"/>
      <c r="O84" s="43">
        <f>AVERAGE(E84:N84)</f>
        <v/>
      </c>
      <c r="P84" s="63" t="inlineStr">
        <is>
          <t>общение по звонку было именно с этим продавцом</t>
        </is>
      </c>
      <c r="Q84" s="63" t="inlineStr">
        <is>
          <t>общение по звонку было</t>
        </is>
      </c>
      <c r="R84" s="63" t="inlineStr">
        <is>
          <t>общение по звонку было</t>
        </is>
      </c>
      <c r="S84" s="63" t="inlineStr">
        <is>
          <t>общение по звонку было</t>
        </is>
      </c>
      <c r="T84" s="63" t="n"/>
      <c r="U84" s="63" t="n"/>
      <c r="V84" s="63" t="n"/>
      <c r="W84" s="63" t="n"/>
      <c r="X84" s="63" t="n"/>
      <c r="Y84" s="63" t="n"/>
      <c r="Z84" s="22" t="n"/>
      <c r="AA84" s="23" t="n"/>
      <c r="AC84" s="24" t="n"/>
    </row>
    <row r="85" ht="34" customHeight="1">
      <c r="A85" s="97" t="n"/>
      <c r="B85" s="97" t="n"/>
      <c r="C85" s="63" t="n">
        <v>3</v>
      </c>
      <c r="D85" s="21" t="inlineStr">
        <is>
          <t>Продавец предложил другой автомобиль для сравнения (в качестве альтернативы)</t>
        </is>
      </c>
      <c r="E85" s="63" t="n">
        <v>0</v>
      </c>
      <c r="F85" s="63" t="n">
        <v>1</v>
      </c>
      <c r="G85" s="63" t="n">
        <v>0</v>
      </c>
      <c r="H85" s="63" t="inlineStr">
        <is>
          <t>N/A</t>
        </is>
      </c>
      <c r="I85" s="63" t="n"/>
      <c r="J85" s="63" t="n"/>
      <c r="K85" s="63" t="n"/>
      <c r="L85" s="63" t="n"/>
      <c r="M85" s="63" t="n"/>
      <c r="N85" s="63" t="n"/>
      <c r="O85" s="43">
        <f>AVERAGE(E85:N85)</f>
        <v/>
      </c>
      <c r="P85" s="63" t="inlineStr">
        <is>
          <t>нет, альтернативы не предлагалось</t>
        </is>
      </c>
      <c r="Q85" s="63" t="inlineStr">
        <is>
          <t>да, продавец обсудил со мной разные авто, но смотрели один</t>
        </is>
      </c>
      <c r="R85" s="63" t="inlineStr">
        <is>
          <t>продавец не предлагал альтернативных вариантов, так как я озвучил, что заинтересован именно этим авто</t>
        </is>
      </c>
      <c r="S85" s="63" t="inlineStr">
        <is>
          <t>нет, не предлагал другой авто</t>
        </is>
      </c>
      <c r="T85" s="63" t="n"/>
      <c r="U85" s="63" t="n"/>
      <c r="V85" s="63" t="n"/>
      <c r="W85" s="63" t="n"/>
      <c r="X85" s="63" t="n"/>
      <c r="Y85" s="63" t="n"/>
      <c r="Z85" s="22" t="n"/>
      <c r="AA85" s="23" t="n"/>
      <c r="AC85" s="24" t="n"/>
    </row>
    <row r="86" ht="34" customHeight="1">
      <c r="A86" s="96" t="n"/>
      <c r="B86" s="96" t="n"/>
      <c r="C86" s="63" t="n">
        <v>4</v>
      </c>
      <c r="D86" s="21" t="inlineStr">
        <is>
          <t>Продавец сообщил примерное время пребывания и дальнейшие шаги с клиентом</t>
        </is>
      </c>
      <c r="E86" s="63" t="n">
        <v>1</v>
      </c>
      <c r="F86" s="63" t="n">
        <v>0</v>
      </c>
      <c r="G86" s="63" t="n">
        <v>0</v>
      </c>
      <c r="H86" s="63" t="n">
        <v>0</v>
      </c>
      <c r="I86" s="63" t="n"/>
      <c r="J86" s="63" t="n"/>
      <c r="K86" s="63" t="n"/>
      <c r="L86" s="63" t="n"/>
      <c r="M86" s="63" t="n"/>
      <c r="N86" s="63" t="n"/>
      <c r="O86" s="43">
        <f>AVERAGE(E86:N86)</f>
        <v/>
      </c>
      <c r="P86" s="63" t="inlineStr">
        <is>
          <t>да, сообщил, сколько примерно займет времени</t>
        </is>
      </c>
      <c r="Q86" s="63" t="inlineStr">
        <is>
          <t>нет, не говорил, сколько потребуется времени</t>
        </is>
      </c>
      <c r="R86" s="63" t="inlineStr">
        <is>
          <t>нет, необходимое время не оговаривали</t>
        </is>
      </c>
      <c r="S86" s="63" t="inlineStr">
        <is>
          <t>нет, не говорил, сколько времени займет визит</t>
        </is>
      </c>
      <c r="T86" s="63" t="n"/>
      <c r="U86" s="63" t="n"/>
      <c r="V86" s="63" t="n"/>
      <c r="W86" s="63" t="n"/>
      <c r="X86" s="63" t="n"/>
      <c r="Y86" s="63" t="n"/>
      <c r="Z86" s="22" t="n"/>
      <c r="AA86" s="23" t="n"/>
      <c r="AC86" s="24" t="n"/>
    </row>
    <row r="87" ht="34" customHeight="1">
      <c r="A87" s="63" t="n">
        <v>13</v>
      </c>
      <c r="B87" s="63" t="inlineStr">
        <is>
          <t>Презентация АСП</t>
        </is>
      </c>
      <c r="C87" s="63" t="n">
        <v>1</v>
      </c>
      <c r="D87" s="21" t="inlineStr">
        <is>
          <t>Ожидание автомобиля для презентации (перегон или мойка перед просмотром) заняло не более 15 минут ожидания</t>
        </is>
      </c>
      <c r="E87" s="63" t="n">
        <v>1</v>
      </c>
      <c r="F87" s="63" t="n">
        <v>0</v>
      </c>
      <c r="G87" s="63" t="inlineStr">
        <is>
          <t>N/A</t>
        </is>
      </c>
      <c r="H87" s="63" t="n">
        <v>0</v>
      </c>
      <c r="I87" s="63" t="n"/>
      <c r="J87" s="63" t="n"/>
      <c r="K87" s="63" t="n"/>
      <c r="L87" s="63" t="n"/>
      <c r="M87" s="63" t="n"/>
      <c r="N87" s="63" t="n"/>
      <c r="O87" s="43">
        <f>AVERAGE(E87:N87)</f>
        <v/>
      </c>
      <c r="P87" s="63" t="inlineStr">
        <is>
          <t>меньше 15 минут</t>
        </is>
      </c>
      <c r="Q87" s="63" t="inlineStr">
        <is>
          <t>авто был на улице, через дорогу от ДЦ,  не прогрет</t>
        </is>
      </c>
      <c r="R87" s="63" t="inlineStr">
        <is>
          <t>продавец проводил на улицу, автомобиль стоял на парковке</t>
        </is>
      </c>
      <c r="S87" s="63" t="inlineStr">
        <is>
          <t>продавец был на месте, но он был в ДЦ один и не мог уйти, что бы показать авто. 15 минут ждали, когда приедет второй сотрудник</t>
        </is>
      </c>
      <c r="T87" s="63" t="n"/>
      <c r="U87" s="63" t="n"/>
      <c r="V87" s="63" t="n"/>
      <c r="W87" s="63" t="n"/>
      <c r="X87" s="63" t="n"/>
      <c r="Y87" s="63" t="n"/>
      <c r="Z87" s="22" t="n"/>
      <c r="AA87" s="23" t="n"/>
      <c r="AC87" s="24" t="n"/>
    </row>
    <row r="88" ht="17" customHeight="1">
      <c r="A88" s="97" t="n"/>
      <c r="B88" s="97" t="n"/>
      <c r="C88" s="63" t="n">
        <v>2</v>
      </c>
      <c r="D88" s="21" t="inlineStr">
        <is>
          <t>Продавец пригласил клиента к автомобилю</t>
        </is>
      </c>
      <c r="E88" s="63" t="n">
        <v>1</v>
      </c>
      <c r="F88" s="63" t="n">
        <v>1</v>
      </c>
      <c r="G88" s="63" t="n">
        <v>1</v>
      </c>
      <c r="H88" s="63" t="n">
        <v>1</v>
      </c>
      <c r="I88" s="63" t="n"/>
      <c r="J88" s="63" t="n"/>
      <c r="K88" s="63" t="n"/>
      <c r="L88" s="63" t="n"/>
      <c r="M88" s="63" t="n"/>
      <c r="N88" s="63" t="n"/>
      <c r="O88" s="43">
        <f>AVERAGE(E88:N88)</f>
        <v/>
      </c>
      <c r="P88" s="63" t="inlineStr">
        <is>
          <t>да, пригласил к авто</t>
        </is>
      </c>
      <c r="Q88" s="63" t="inlineStr">
        <is>
          <t>продавец пригласил пройти к авто</t>
        </is>
      </c>
      <c r="R88" s="63" t="inlineStr">
        <is>
          <t>пригласил пройти к авто</t>
        </is>
      </c>
      <c r="S88" s="63" t="inlineStr">
        <is>
          <t>пригласил пройти к автомобилю</t>
        </is>
      </c>
      <c r="T88" s="63" t="n"/>
      <c r="U88" s="63" t="n"/>
      <c r="V88" s="63" t="n"/>
      <c r="W88" s="63" t="n"/>
      <c r="X88" s="63" t="n"/>
      <c r="Y88" s="63" t="n"/>
      <c r="Z88" s="22" t="n"/>
      <c r="AA88" s="23" t="n"/>
      <c r="AC88" s="24" t="n"/>
    </row>
    <row r="89" ht="34" customHeight="1">
      <c r="A89" s="97" t="n"/>
      <c r="B89" s="97" t="n"/>
      <c r="C89" s="63" t="n">
        <v>3</v>
      </c>
      <c r="D89" s="21" t="inlineStr">
        <is>
          <t>Продавец провел презентацию АСП по круговому осмотру (не менее 3х точек из 6) с вовлечением клиента в процесс презентации</t>
        </is>
      </c>
      <c r="E89" s="63" t="n">
        <v>1</v>
      </c>
      <c r="F89" s="63" t="n">
        <v>1</v>
      </c>
      <c r="G89" s="63" t="n">
        <v>1</v>
      </c>
      <c r="H89" s="63" t="n">
        <v>1</v>
      </c>
      <c r="I89" s="63" t="n"/>
      <c r="J89" s="63" t="n"/>
      <c r="K89" s="63" t="n"/>
      <c r="L89" s="63" t="n"/>
      <c r="M89" s="63" t="n"/>
      <c r="N89" s="63" t="n"/>
      <c r="O89" s="43">
        <f>AVERAGE(E89:N89)</f>
        <v/>
      </c>
      <c r="P89" s="63" t="inlineStr">
        <is>
          <t>да, показал авто, рассказал все</t>
        </is>
      </c>
      <c r="Q89" s="63" t="inlineStr">
        <is>
          <t>да, продавец проводил презентацию вовлекая в диалог</t>
        </is>
      </c>
      <c r="R89" s="63" t="inlineStr">
        <is>
          <t>продавец провел презентацию, пригласил присесть в авто</t>
        </is>
      </c>
      <c r="S89" s="63" t="inlineStr">
        <is>
          <t>провел презентацию по кругу</t>
        </is>
      </c>
      <c r="T89" s="63" t="n"/>
      <c r="U89" s="63" t="n"/>
      <c r="V89" s="63" t="n"/>
      <c r="W89" s="63" t="n"/>
      <c r="X89" s="63" t="n"/>
      <c r="Y89" s="63" t="n"/>
      <c r="Z89" s="22" t="n"/>
      <c r="AA89" s="23" t="n"/>
      <c r="AC89" s="24" t="n"/>
    </row>
    <row r="90" ht="51" customHeight="1">
      <c r="A90" s="97" t="n"/>
      <c r="B90" s="97" t="n"/>
      <c r="C90" s="63" t="n">
        <v>4</v>
      </c>
      <c r="D90" s="21" t="inlineStr">
        <is>
          <t>Продавец рассказал об уникальных особенностях конкретного АСП (1 владелец, низкий пробег, нет крашеных элементов, редкая комплектация итд)</t>
        </is>
      </c>
      <c r="E90" s="63" t="n">
        <v>1</v>
      </c>
      <c r="F90" s="63" t="n">
        <v>1</v>
      </c>
      <c r="G90" s="63" t="n">
        <v>1</v>
      </c>
      <c r="H90" s="63" t="n">
        <v>1</v>
      </c>
      <c r="I90" s="63" t="n"/>
      <c r="J90" s="63" t="n"/>
      <c r="K90" s="63" t="n"/>
      <c r="L90" s="63" t="n"/>
      <c r="M90" s="63" t="n"/>
      <c r="N90" s="63" t="n"/>
      <c r="O90" s="43">
        <f>AVERAGE(E90:N90)</f>
        <v/>
      </c>
      <c r="P90" s="63" t="inlineStr">
        <is>
          <t>да, рассказал об особенностях авто</t>
        </is>
      </c>
      <c r="Q90" s="63" t="inlineStr">
        <is>
          <t>рассказал об уникальных особенностях</t>
        </is>
      </c>
      <c r="R90" s="63" t="inlineStr">
        <is>
          <t>рассказал о количестве владельцев, о ДТП и тд</t>
        </is>
      </c>
      <c r="S90" s="63" t="inlineStr">
        <is>
          <t>рассказал про автомобиль</t>
        </is>
      </c>
      <c r="T90" s="63" t="n"/>
      <c r="U90" s="63" t="n"/>
      <c r="V90" s="63" t="n"/>
      <c r="W90" s="63" t="n"/>
      <c r="X90" s="63" t="n"/>
      <c r="Y90" s="63" t="n"/>
      <c r="Z90" s="22" t="n"/>
      <c r="AA90" s="23" t="n"/>
      <c r="AC90" s="24" t="n"/>
    </row>
    <row r="91" ht="34" customHeight="1">
      <c r="A91" s="97" t="n"/>
      <c r="B91" s="97" t="n"/>
      <c r="C91" s="63" t="n">
        <v>5</v>
      </c>
      <c r="D91" s="21" t="inlineStr">
        <is>
          <t>Продавец рассказал о техническом состоянии АСП после проведения диагностики</t>
        </is>
      </c>
      <c r="E91" s="63" t="n">
        <v>1</v>
      </c>
      <c r="F91" s="63" t="n">
        <v>1</v>
      </c>
      <c r="G91" s="63" t="n">
        <v>1</v>
      </c>
      <c r="H91" s="63" t="n">
        <v>1</v>
      </c>
      <c r="I91" s="63" t="n"/>
      <c r="J91" s="63" t="n"/>
      <c r="K91" s="63" t="n"/>
      <c r="L91" s="63" t="n"/>
      <c r="M91" s="63" t="n"/>
      <c r="N91" s="63" t="n"/>
      <c r="O91" s="43">
        <f>AVERAGE(E91:N91)</f>
        <v/>
      </c>
      <c r="P91" s="63" t="inlineStr">
        <is>
          <t>рассказал о техническом состоянии, сказал, что автомобиль новый</t>
        </is>
      </c>
      <c r="Q91" s="63" t="inlineStr">
        <is>
          <t>рассказал о техническом состоянии</t>
        </is>
      </c>
      <c r="R91" s="63" t="inlineStr">
        <is>
          <t>рассказал о техническом состоянии</t>
        </is>
      </c>
      <c r="S91" s="63" t="inlineStr">
        <is>
          <t>рассказал о техническом состоянии</t>
        </is>
      </c>
      <c r="T91" s="63" t="n"/>
      <c r="U91" s="63" t="n"/>
      <c r="V91" s="63" t="n"/>
      <c r="W91" s="63" t="n"/>
      <c r="X91" s="63" t="n"/>
      <c r="Y91" s="63" t="n"/>
      <c r="Z91" s="22" t="n"/>
      <c r="AA91" s="23" t="n"/>
      <c r="AC91" s="24" t="n"/>
    </row>
    <row r="92" ht="34" customHeight="1">
      <c r="A92" s="97" t="n"/>
      <c r="B92" s="97" t="n"/>
      <c r="C92" s="63" t="n">
        <v>6</v>
      </c>
      <c r="D92" s="21" t="inlineStr">
        <is>
          <t>Продавец предложил разместиться в АСП и завести двигатель (продавец за рулем)</t>
        </is>
      </c>
      <c r="E92" s="63" t="n">
        <v>1</v>
      </c>
      <c r="F92" s="63" t="n">
        <v>1</v>
      </c>
      <c r="G92" s="63" t="n">
        <v>1</v>
      </c>
      <c r="H92" s="63" t="n">
        <v>1</v>
      </c>
      <c r="I92" s="63" t="n"/>
      <c r="J92" s="63" t="n"/>
      <c r="K92" s="63" t="n"/>
      <c r="L92" s="63" t="n"/>
      <c r="M92" s="63" t="n"/>
      <c r="N92" s="63" t="n"/>
      <c r="O92" s="43">
        <f>AVERAGE(E92:N92)</f>
        <v/>
      </c>
      <c r="P92" s="63" t="inlineStr">
        <is>
          <t>да, завели двигатель, прокатились по парковке</t>
        </is>
      </c>
      <c r="Q92" s="63" t="inlineStr">
        <is>
          <t>предложил сесть в авто и завести двигатель</t>
        </is>
      </c>
      <c r="R92" s="63" t="inlineStr">
        <is>
          <t>предложил присесть в авто, завел двигатель, все показал</t>
        </is>
      </c>
      <c r="S92" s="63" t="inlineStr">
        <is>
          <t>предложил посидеть в машине</t>
        </is>
      </c>
      <c r="T92" s="63" t="n"/>
      <c r="U92" s="63" t="n"/>
      <c r="V92" s="63" t="n"/>
      <c r="W92" s="63" t="n"/>
      <c r="X92" s="63" t="n"/>
      <c r="Y92" s="63" t="n"/>
      <c r="Z92" s="22" t="n"/>
      <c r="AA92" s="23" t="n"/>
      <c r="AC92" s="24" t="n"/>
    </row>
    <row r="93" ht="34" customHeight="1">
      <c r="A93" s="97" t="n"/>
      <c r="B93" s="97" t="n"/>
      <c r="C93" s="63" t="n">
        <v>7</v>
      </c>
      <c r="D93" s="21" t="inlineStr">
        <is>
          <t>Продавец предложил тестовую поездку по территории возле ДЦ (продавец за рулем) (опционально)</t>
        </is>
      </c>
      <c r="E93" s="63" t="n">
        <v>1</v>
      </c>
      <c r="F93" s="63" t="n">
        <v>1</v>
      </c>
      <c r="G93" s="63" t="n">
        <v>0</v>
      </c>
      <c r="H93" s="63" t="n">
        <v>0</v>
      </c>
      <c r="I93" s="63" t="n"/>
      <c r="J93" s="63" t="n"/>
      <c r="K93" s="63" t="n"/>
      <c r="L93" s="63" t="n"/>
      <c r="M93" s="63" t="n"/>
      <c r="N93" s="63" t="n"/>
      <c r="O93" s="43">
        <f>AVERAGE(E93:N93)</f>
        <v/>
      </c>
      <c r="P93" s="63" t="inlineStr">
        <is>
          <t>да, была тестовая поездка возле ДЦ</t>
        </is>
      </c>
      <c r="Q93" s="63" t="inlineStr">
        <is>
          <t>да, продавец предложил сделать тестовую поездку</t>
        </is>
      </c>
      <c r="R93" s="63" t="inlineStr">
        <is>
          <t>продавец хотел завершить осмотр, я предложил прокатиться</t>
        </is>
      </c>
      <c r="S93" s="63" t="inlineStr">
        <is>
          <t>нет, машина на летней резине, поэтому тест-драйва не было</t>
        </is>
      </c>
      <c r="T93" s="63" t="n"/>
      <c r="U93" s="63" t="n"/>
      <c r="V93" s="63" t="n"/>
      <c r="W93" s="63" t="n"/>
      <c r="X93" s="63" t="n"/>
      <c r="Y93" s="63" t="n"/>
      <c r="Z93" s="22" t="n"/>
      <c r="AA93" s="23" t="n"/>
      <c r="AC93" s="24" t="n"/>
    </row>
    <row r="94" ht="34" customHeight="1">
      <c r="A94" s="96" t="n"/>
      <c r="B94" s="96" t="n"/>
      <c r="C94" s="63" t="n">
        <v>8</v>
      </c>
      <c r="D94" s="21" t="inlineStr">
        <is>
          <t>Продавец резюмировал проведенную презентацию (что понравилось клиенту)</t>
        </is>
      </c>
      <c r="E94" s="63" t="n">
        <v>1</v>
      </c>
      <c r="F94" s="63" t="n">
        <v>1</v>
      </c>
      <c r="G94" s="63" t="n">
        <v>1</v>
      </c>
      <c r="H94" s="63" t="n">
        <v>1</v>
      </c>
      <c r="I94" s="63" t="n"/>
      <c r="J94" s="63" t="n"/>
      <c r="K94" s="63" t="n"/>
      <c r="L94" s="63" t="n"/>
      <c r="M94" s="63" t="n"/>
      <c r="N94" s="63" t="n"/>
      <c r="O94" s="43">
        <f>AVERAGE(E94:N94)</f>
        <v/>
      </c>
      <c r="P94" s="63" t="inlineStr">
        <is>
          <t>подытожил презентацию</t>
        </is>
      </c>
      <c r="Q94" s="63" t="inlineStr">
        <is>
          <t>да, продавец подвел итоги</t>
        </is>
      </c>
      <c r="R94" s="63" t="inlineStr">
        <is>
          <t>резюмировал предентацию</t>
        </is>
      </c>
      <c r="S94" s="63" t="inlineStr">
        <is>
          <t>резюмировал презентацию</t>
        </is>
      </c>
      <c r="T94" s="63" t="n"/>
      <c r="U94" s="63" t="n"/>
      <c r="V94" s="63" t="n"/>
      <c r="W94" s="63" t="n"/>
      <c r="X94" s="63" t="n"/>
      <c r="Y94" s="63" t="n"/>
      <c r="Z94" s="22" t="n"/>
      <c r="AA94" s="23" t="n"/>
      <c r="AC94" s="24" t="n"/>
    </row>
    <row r="95" ht="34" customHeight="1">
      <c r="A95" s="63" t="n">
        <v>14</v>
      </c>
      <c r="B95" s="63" t="inlineStr">
        <is>
          <t>Предложение альтернативы (в случае согласия клиента)</t>
        </is>
      </c>
      <c r="C95" s="63" t="n">
        <v>1</v>
      </c>
      <c r="D95" s="21" t="inlineStr">
        <is>
          <t>В случае согласия на альтернативу Продавец пригласил клиента к другому АСП</t>
        </is>
      </c>
      <c r="E95" s="63" t="inlineStr">
        <is>
          <t>N/A</t>
        </is>
      </c>
      <c r="F95" s="63" t="n">
        <v>0</v>
      </c>
      <c r="G95" s="63" t="inlineStr">
        <is>
          <t>N/A</t>
        </is>
      </c>
      <c r="H95" s="63" t="inlineStr">
        <is>
          <t>N/A</t>
        </is>
      </c>
      <c r="I95" s="63" t="n"/>
      <c r="J95" s="63" t="n"/>
      <c r="K95" s="63" t="n"/>
      <c r="L95" s="63" t="n"/>
      <c r="M95" s="63" t="n"/>
      <c r="N95" s="63" t="n"/>
      <c r="O95" s="43">
        <f>AVERAGE(E95:N95)</f>
        <v/>
      </c>
      <c r="P95" s="63" t="inlineStr">
        <is>
          <t>предложения альтернативы не было</t>
        </is>
      </c>
      <c r="Q95" s="63" t="inlineStr">
        <is>
          <t>нет, предложения альтернативы не было</t>
        </is>
      </c>
      <c r="R95" s="63" t="inlineStr">
        <is>
          <t>предложения альтернативы не было</t>
        </is>
      </c>
      <c r="S95" s="63" t="inlineStr">
        <is>
          <t>согласия на альтернативу не было</t>
        </is>
      </c>
      <c r="T95" s="63" t="n"/>
      <c r="U95" s="63" t="n"/>
      <c r="V95" s="63" t="n"/>
      <c r="W95" s="63" t="n"/>
      <c r="X95" s="63" t="n"/>
      <c r="Y95" s="63" t="n"/>
      <c r="Z95" s="22" t="n"/>
      <c r="AA95" s="23" t="n"/>
      <c r="AC95" s="24" t="n"/>
    </row>
    <row r="96" ht="34" customHeight="1">
      <c r="A96" s="97" t="n"/>
      <c r="B96" s="97" t="n"/>
      <c r="C96" s="63" t="n">
        <v>2</v>
      </c>
      <c r="D96" s="21" t="inlineStr">
        <is>
          <t>Продавец провел презентацию АСП по круговому осмотру (не менее 3х точек из 6) с вовлечением клиента в процесс презентации</t>
        </is>
      </c>
      <c r="E96" s="63" t="inlineStr">
        <is>
          <t>N/A</t>
        </is>
      </c>
      <c r="F96" s="63" t="inlineStr">
        <is>
          <t>N/A</t>
        </is>
      </c>
      <c r="G96" s="63" t="inlineStr">
        <is>
          <t>N/A</t>
        </is>
      </c>
      <c r="H96" s="63" t="inlineStr">
        <is>
          <t>N/A</t>
        </is>
      </c>
      <c r="I96" s="63" t="n"/>
      <c r="J96" s="63" t="n"/>
      <c r="K96" s="63" t="n"/>
      <c r="L96" s="63" t="n"/>
      <c r="M96" s="63" t="n"/>
      <c r="N96" s="63" t="n"/>
      <c r="O96" s="43">
        <f>AVERAGE(E96:N96)</f>
        <v/>
      </c>
      <c r="P96" s="63" t="inlineStr">
        <is>
          <t>предложения альтернативы не было</t>
        </is>
      </c>
      <c r="Q96" s="63" t="inlineStr">
        <is>
          <t>нет, предложения альтернативы не было</t>
        </is>
      </c>
      <c r="R96" s="63" t="inlineStr">
        <is>
          <t>предложения альтернативы не было</t>
        </is>
      </c>
      <c r="S96" s="63" t="inlineStr">
        <is>
          <t>согласия на альтернативу не было</t>
        </is>
      </c>
      <c r="T96" s="63" t="n"/>
      <c r="U96" s="63" t="n"/>
      <c r="V96" s="63" t="n"/>
      <c r="W96" s="63" t="n"/>
      <c r="X96" s="63" t="n"/>
      <c r="Y96" s="63" t="n"/>
      <c r="Z96" s="22" t="n"/>
      <c r="AA96" s="23" t="n"/>
      <c r="AC96" s="24" t="n"/>
    </row>
    <row r="97" ht="51" customHeight="1">
      <c r="A97" s="97" t="n"/>
      <c r="B97" s="97" t="n"/>
      <c r="C97" s="63" t="n">
        <v>3</v>
      </c>
      <c r="D97" s="21" t="inlineStr">
        <is>
          <t>Продавец рассказал об уникальных особенностях конкретного АСП (1 владелец, низкий пробег, нет крашеных элементов, редкая комплектация итд)</t>
        </is>
      </c>
      <c r="E97" s="63" t="inlineStr">
        <is>
          <t>N/A</t>
        </is>
      </c>
      <c r="F97" s="63" t="inlineStr">
        <is>
          <t>N/A</t>
        </is>
      </c>
      <c r="G97" s="63" t="inlineStr">
        <is>
          <t>N/A</t>
        </is>
      </c>
      <c r="H97" s="63" t="inlineStr">
        <is>
          <t>N/A</t>
        </is>
      </c>
      <c r="I97" s="63" t="n"/>
      <c r="J97" s="63" t="n"/>
      <c r="K97" s="63" t="n"/>
      <c r="L97" s="63" t="n"/>
      <c r="M97" s="63" t="n"/>
      <c r="N97" s="63" t="n"/>
      <c r="O97" s="43">
        <f>AVERAGE(E97:N97)</f>
        <v/>
      </c>
      <c r="P97" s="63" t="inlineStr">
        <is>
          <t>предложения альтернативы не было</t>
        </is>
      </c>
      <c r="Q97" s="63" t="inlineStr">
        <is>
          <t>нет, предложения альтернативы не было</t>
        </is>
      </c>
      <c r="R97" s="63" t="inlineStr">
        <is>
          <t>предложения альтернативы не было</t>
        </is>
      </c>
      <c r="S97" s="63" t="inlineStr">
        <is>
          <t>согласия на альтернативу не было</t>
        </is>
      </c>
      <c r="T97" s="63" t="n"/>
      <c r="U97" s="63" t="n"/>
      <c r="V97" s="63" t="n"/>
      <c r="W97" s="63" t="n"/>
      <c r="X97" s="63" t="n"/>
      <c r="Y97" s="63" t="n"/>
      <c r="Z97" s="22" t="n"/>
      <c r="AA97" s="23" t="n"/>
      <c r="AC97" s="24" t="n"/>
    </row>
    <row r="98" ht="34" customHeight="1">
      <c r="A98" s="97" t="n"/>
      <c r="B98" s="97" t="n"/>
      <c r="C98" s="63" t="n">
        <v>4</v>
      </c>
      <c r="D98" s="21" t="inlineStr">
        <is>
          <t>Продавец рассказал о техническом состоянии альтернативного АСП после проведения диагностики</t>
        </is>
      </c>
      <c r="E98" s="63" t="inlineStr">
        <is>
          <t>N/A</t>
        </is>
      </c>
      <c r="F98" s="63" t="inlineStr">
        <is>
          <t>N/A</t>
        </is>
      </c>
      <c r="G98" s="63" t="inlineStr">
        <is>
          <t>N/A</t>
        </is>
      </c>
      <c r="H98" s="63" t="inlineStr">
        <is>
          <t>N/A</t>
        </is>
      </c>
      <c r="I98" s="63" t="n"/>
      <c r="J98" s="63" t="n"/>
      <c r="K98" s="63" t="n"/>
      <c r="L98" s="63" t="n"/>
      <c r="M98" s="63" t="n"/>
      <c r="N98" s="63" t="n"/>
      <c r="O98" s="43">
        <f>AVERAGE(E98:N98)</f>
        <v/>
      </c>
      <c r="P98" s="63" t="inlineStr">
        <is>
          <t>предложения альтернативы не было</t>
        </is>
      </c>
      <c r="Q98" s="63" t="inlineStr">
        <is>
          <t>нет, предложения альтернативы не было</t>
        </is>
      </c>
      <c r="R98" s="63" t="inlineStr">
        <is>
          <t>предложения альтернативы не было</t>
        </is>
      </c>
      <c r="S98" s="63" t="inlineStr">
        <is>
          <t>согласия на альтернативу не было</t>
        </is>
      </c>
      <c r="T98" s="63" t="n"/>
      <c r="U98" s="63" t="n"/>
      <c r="V98" s="63" t="n"/>
      <c r="W98" s="63" t="n"/>
      <c r="X98" s="63" t="n"/>
      <c r="Y98" s="63" t="n"/>
      <c r="Z98" s="22" t="n"/>
      <c r="AA98" s="23" t="n"/>
      <c r="AC98" s="24" t="n"/>
    </row>
    <row r="99" ht="34" customHeight="1">
      <c r="A99" s="96" t="n"/>
      <c r="B99" s="96" t="n"/>
      <c r="C99" s="63" t="n">
        <v>5</v>
      </c>
      <c r="D99" s="21" t="inlineStr">
        <is>
          <t>Продавец предложил тестовую поездку по территории возле ДЦ (опционально)</t>
        </is>
      </c>
      <c r="E99" s="63" t="inlineStr">
        <is>
          <t>N/A</t>
        </is>
      </c>
      <c r="F99" s="63" t="inlineStr">
        <is>
          <t>N/A</t>
        </is>
      </c>
      <c r="G99" s="63" t="inlineStr">
        <is>
          <t>N/A</t>
        </is>
      </c>
      <c r="H99" s="63" t="inlineStr">
        <is>
          <t>N/A</t>
        </is>
      </c>
      <c r="I99" s="63" t="n"/>
      <c r="J99" s="63" t="n"/>
      <c r="K99" s="63" t="n"/>
      <c r="L99" s="63" t="n"/>
      <c r="M99" s="63" t="n"/>
      <c r="N99" s="63" t="n"/>
      <c r="O99" s="43">
        <f>AVERAGE(E99:N99)</f>
        <v/>
      </c>
      <c r="P99" s="63" t="inlineStr">
        <is>
          <t>предложения альтернативы не было</t>
        </is>
      </c>
      <c r="Q99" s="63" t="inlineStr">
        <is>
          <t>нет, предложения альтернативы не было</t>
        </is>
      </c>
      <c r="R99" s="63" t="inlineStr">
        <is>
          <t>предложения альтернативы не было</t>
        </is>
      </c>
      <c r="S99" s="63" t="inlineStr">
        <is>
          <t>согласия на альтернативу не было</t>
        </is>
      </c>
      <c r="T99" s="63" t="n"/>
      <c r="U99" s="63" t="n"/>
      <c r="V99" s="63" t="n"/>
      <c r="W99" s="63" t="n"/>
      <c r="X99" s="63" t="n"/>
      <c r="Y99" s="63" t="n"/>
      <c r="Z99" s="22" t="n"/>
      <c r="AA99" s="23" t="n"/>
      <c r="AC99" s="24" t="n"/>
    </row>
    <row r="100" ht="34" customHeight="1">
      <c r="A100" s="63" t="n">
        <v>15</v>
      </c>
      <c r="B100" s="63" t="inlineStr">
        <is>
          <t>Предложение сделки</t>
        </is>
      </c>
      <c r="C100" s="63" t="n">
        <v>1</v>
      </c>
      <c r="D100" s="21" t="inlineStr">
        <is>
          <t>Продавец резюмировал проведенную презентации (что понравилось клиенту)</t>
        </is>
      </c>
      <c r="E100" s="63" t="inlineStr">
        <is>
          <t>N/A</t>
        </is>
      </c>
      <c r="F100" s="63" t="n">
        <v>1</v>
      </c>
      <c r="G100" s="63" t="inlineStr">
        <is>
          <t>N/A</t>
        </is>
      </c>
      <c r="H100" s="63" t="n">
        <v>1</v>
      </c>
      <c r="I100" s="63" t="n"/>
      <c r="J100" s="63" t="n"/>
      <c r="K100" s="63" t="n"/>
      <c r="L100" s="63" t="n"/>
      <c r="M100" s="63" t="n"/>
      <c r="N100" s="63" t="n"/>
      <c r="O100" s="43">
        <f>AVERAGE(E100:N100)</f>
        <v/>
      </c>
      <c r="P100" s="63" t="inlineStr">
        <is>
          <t>предложения альтернативы не было</t>
        </is>
      </c>
      <c r="Q100" s="63" t="inlineStr">
        <is>
          <t>да, продавец подвел итоги</t>
        </is>
      </c>
      <c r="R100" s="63" t="inlineStr">
        <is>
          <t>предложения альтернативы не было</t>
        </is>
      </c>
      <c r="S100" s="63" t="inlineStr">
        <is>
          <t>резюмировал презентацию</t>
        </is>
      </c>
      <c r="T100" s="63" t="n"/>
      <c r="U100" s="63" t="n"/>
      <c r="V100" s="63" t="n"/>
      <c r="W100" s="63" t="n"/>
      <c r="X100" s="63" t="n"/>
      <c r="Y100" s="63" t="n"/>
      <c r="Z100" s="22" t="n"/>
      <c r="AA100" s="23" t="n"/>
      <c r="AC100" s="24" t="n"/>
    </row>
    <row r="101" ht="34" customHeight="1">
      <c r="A101" s="96" t="n"/>
      <c r="B101" s="96" t="n"/>
      <c r="C101" s="63" t="n">
        <v>2</v>
      </c>
      <c r="D101" s="21" t="inlineStr">
        <is>
          <t>Продавец предложил совершить покупку "здесь и сейчас" и пригласил клиента в ДЦ/к рабочему месту</t>
        </is>
      </c>
      <c r="E101" s="63" t="n">
        <v>1</v>
      </c>
      <c r="F101" s="63" t="n">
        <v>1</v>
      </c>
      <c r="G101" s="63" t="inlineStr">
        <is>
          <t>N/A</t>
        </is>
      </c>
      <c r="H101" s="63" t="inlineStr">
        <is>
          <t>N/A</t>
        </is>
      </c>
      <c r="I101" s="63" t="n"/>
      <c r="J101" s="63" t="n"/>
      <c r="K101" s="63" t="n"/>
      <c r="L101" s="63" t="n"/>
      <c r="M101" s="63" t="n"/>
      <c r="N101" s="63" t="n"/>
      <c r="O101" s="43">
        <f>AVERAGE(E101:N101)</f>
        <v/>
      </c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22" t="n"/>
      <c r="AA101" s="23" t="n"/>
      <c r="AC101" s="24" t="n"/>
    </row>
    <row r="102">
      <c r="A102" s="104" t="inlineStr">
        <is>
          <t>Трейд-ин и КСО</t>
        </is>
      </c>
      <c r="D102" s="105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18">
        <f>AVERAGE(O103:O134)</f>
        <v/>
      </c>
      <c r="P102" s="79" t="inlineStr">
        <is>
          <t>нет, расчеты на руки не передала</t>
        </is>
      </c>
      <c r="Q102" s="79" t="inlineStr">
        <is>
          <t>да, все передали</t>
        </is>
      </c>
      <c r="R102" s="79" t="inlineStr">
        <is>
          <t>трейд-ин, способ оплаты не обсуждали, знакомства с КСО не было</t>
        </is>
      </c>
      <c r="S102" s="79" t="inlineStr">
        <is>
          <t>продавец не предлагал знакомства с КСО, так как процент предлагаемый при кредитовании мне не подошел</t>
        </is>
      </c>
      <c r="T102" s="79" t="n"/>
      <c r="U102" s="79" t="n"/>
      <c r="V102" s="79" t="n"/>
      <c r="W102" s="79" t="n"/>
      <c r="X102" s="79" t="n"/>
      <c r="Y102" s="79" t="n"/>
      <c r="Z102" s="29" t="n"/>
      <c r="AA102" s="30">
        <f>AVERAGE(AA103:AA137)</f>
        <v/>
      </c>
      <c r="AC102" s="19" t="n"/>
    </row>
    <row r="103" ht="34" customHeight="1">
      <c r="A103" s="63" t="n">
        <v>16</v>
      </c>
      <c r="B103" s="63" t="inlineStr">
        <is>
          <t>Уточнение деталей покупки</t>
        </is>
      </c>
      <c r="C103" s="63" t="n">
        <v>1</v>
      </c>
      <c r="D103" s="21" t="inlineStr">
        <is>
          <t>Продавец уточнил как клиент планирует приобретать АСП (наличные или в кредит), а также наличие АСП для трейд-ин</t>
        </is>
      </c>
      <c r="E103" s="63" t="n">
        <v>1</v>
      </c>
      <c r="F103" s="63" t="n">
        <v>0</v>
      </c>
      <c r="G103" s="63" t="n">
        <v>0</v>
      </c>
      <c r="H103" s="63" t="n">
        <v>1</v>
      </c>
      <c r="I103" s="63" t="n"/>
      <c r="J103" s="63" t="n"/>
      <c r="K103" s="63" t="n"/>
      <c r="L103" s="63" t="n"/>
      <c r="M103" s="63" t="n"/>
      <c r="N103" s="63" t="n"/>
      <c r="O103" s="43">
        <f>AVERAGE(E103:N103)</f>
        <v/>
      </c>
      <c r="P103" s="63" t="inlineStr">
        <is>
          <t>уточнил способ оплаты, есть ли авто для трейд-ин</t>
        </is>
      </c>
      <c r="Q103" s="63" t="inlineStr">
        <is>
          <t>нет, не уточнял</t>
        </is>
      </c>
      <c r="R103" s="63" t="inlineStr">
        <is>
          <t>трейд-ин, способ оплаты не обсуждали</t>
        </is>
      </c>
      <c r="S103" s="63" t="inlineStr">
        <is>
          <t>да, уточнил способ покупки и есть ли авто для трейд-ин</t>
        </is>
      </c>
      <c r="T103" s="63" t="n"/>
      <c r="U103" s="63" t="n"/>
      <c r="V103" s="63" t="n"/>
      <c r="W103" s="63" t="n"/>
      <c r="X103" s="63" t="n"/>
      <c r="Y103" s="63" t="n"/>
      <c r="Z103" s="22" t="n"/>
      <c r="AA103" s="23" t="n"/>
      <c r="AC103" s="24" t="n"/>
    </row>
    <row r="104" ht="34" customHeight="1">
      <c r="A104" s="97" t="n"/>
      <c r="B104" s="97" t="n"/>
      <c r="C104" s="63" t="n">
        <v>2</v>
      </c>
      <c r="D104" s="21" t="inlineStr">
        <is>
          <t>В случае интереса к трейд-ин продавец предлагает пройти оценку и осмотр</t>
        </is>
      </c>
      <c r="E104" s="63" t="n">
        <v>1</v>
      </c>
      <c r="F104" s="63" t="n">
        <v>1</v>
      </c>
      <c r="G104" s="63" t="inlineStr">
        <is>
          <t>N/A</t>
        </is>
      </c>
      <c r="H104" s="63" t="n">
        <v>0</v>
      </c>
      <c r="I104" s="63" t="n"/>
      <c r="J104" s="63" t="n"/>
      <c r="K104" s="63" t="n"/>
      <c r="L104" s="63" t="n"/>
      <c r="M104" s="63" t="n"/>
      <c r="N104" s="63" t="n"/>
      <c r="O104" s="43">
        <f>AVERAGE(E104:N104)</f>
        <v/>
      </c>
      <c r="P104" s="63" t="inlineStr">
        <is>
          <t>предложил оценить, уточнил всю информацию по моему авто</t>
        </is>
      </c>
      <c r="Q104" s="63" t="inlineStr">
        <is>
          <t>предложил</t>
        </is>
      </c>
      <c r="R104" s="63" t="inlineStr">
        <is>
          <t>трейд-ин, способ оплаты не обсуждали</t>
        </is>
      </c>
      <c r="S104" s="63" t="inlineStr">
        <is>
          <t>непосредственно оценку продавец не предлагал, так как я прислала продавцу данные авто и к моему визиту он посчитал предварительную стоимость</t>
        </is>
      </c>
      <c r="T104" s="63" t="n"/>
      <c r="U104" s="63" t="n"/>
      <c r="V104" s="63" t="n"/>
      <c r="W104" s="63" t="n"/>
      <c r="X104" s="63" t="n"/>
      <c r="Y104" s="63" t="n"/>
      <c r="Z104" s="22" t="n"/>
      <c r="AA104" s="23" t="n"/>
      <c r="AC104" s="24" t="n"/>
    </row>
    <row r="105" ht="34" customHeight="1">
      <c r="A105" s="96" t="n"/>
      <c r="B105" s="96" t="n"/>
      <c r="C105" s="63" t="n">
        <v>3</v>
      </c>
      <c r="D105" s="21" t="inlineStr">
        <is>
          <t>Продавец знакомит клиента с байером и кратко сообщает параметры АСП</t>
        </is>
      </c>
      <c r="E105" s="63" t="n">
        <v>0</v>
      </c>
      <c r="F105" s="63" t="n">
        <v>0</v>
      </c>
      <c r="G105" s="63" t="inlineStr">
        <is>
          <t>N/A</t>
        </is>
      </c>
      <c r="H105" s="63" t="inlineStr">
        <is>
          <t>N/A</t>
        </is>
      </c>
      <c r="I105" s="63" t="n"/>
      <c r="J105" s="63" t="n"/>
      <c r="K105" s="63" t="n"/>
      <c r="L105" s="63" t="n"/>
      <c r="M105" s="63" t="n"/>
      <c r="N105" s="63" t="n"/>
      <c r="O105" s="43">
        <f>AVERAGE(E105:N105)</f>
        <v/>
      </c>
      <c r="P105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05" s="63" t="inlineStr">
        <is>
          <t>нет, знакомства с байером не было, продавец сделал предварительную оценку</t>
        </is>
      </c>
      <c r="R105" s="63" t="inlineStr">
        <is>
          <t>трейд-ин, способ оплаты не обсуждали, знакомства с байером не было</t>
        </is>
      </c>
      <c r="S105" s="63" t="inlineStr">
        <is>
          <t>знакомства с байером не было, так как, непосредственно оценку продавец не предлагал, так как я прислала продавцу данные авто и к моему визиту он посчитал предварительную стоимость</t>
        </is>
      </c>
      <c r="T105" s="63" t="n"/>
      <c r="U105" s="63" t="n"/>
      <c r="V105" s="63" t="n"/>
      <c r="W105" s="63" t="n"/>
      <c r="X105" s="63" t="n"/>
      <c r="Y105" s="63" t="n"/>
      <c r="Z105" s="22" t="n"/>
      <c r="AA105" s="23" t="n"/>
      <c r="AC105" s="24" t="n"/>
    </row>
    <row r="106" ht="34" customHeight="1">
      <c r="A106" s="63" t="n">
        <v>17</v>
      </c>
      <c r="B106" s="63" t="inlineStr">
        <is>
          <t>Презентация шагов этапа трейд-ин</t>
        </is>
      </c>
      <c r="C106" s="63" t="n">
        <v>1</v>
      </c>
      <c r="D106" s="21" t="inlineStr">
        <is>
          <t>Байер тезисно сообщил о предстоящих шагах и где понадобится присутствие клиента</t>
        </is>
      </c>
      <c r="E106" s="63" t="inlineStr">
        <is>
          <t>N/A</t>
        </is>
      </c>
      <c r="F106" s="63" t="inlineStr">
        <is>
          <t>N/A</t>
        </is>
      </c>
      <c r="G106" s="63" t="inlineStr">
        <is>
          <t>N/A</t>
        </is>
      </c>
      <c r="H106" s="63" t="inlineStr">
        <is>
          <t>N/A</t>
        </is>
      </c>
      <c r="I106" s="63" t="n"/>
      <c r="J106" s="63" t="n"/>
      <c r="K106" s="63" t="n"/>
      <c r="L106" s="63" t="n"/>
      <c r="M106" s="63" t="n"/>
      <c r="N106" s="63" t="n"/>
      <c r="O106" s="43">
        <f>AVERAGE(E106:N106)</f>
        <v/>
      </c>
      <c r="P106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06" s="63" t="inlineStr">
        <is>
          <t>нет, знакомства с байером не было</t>
        </is>
      </c>
      <c r="R106" s="63" t="inlineStr">
        <is>
          <t>трейд-ин, способ оплаты не обсуждали, знакомства с байером не было</t>
        </is>
      </c>
      <c r="S106" s="63" t="inlineStr">
        <is>
          <t>знакомства с байером не было</t>
        </is>
      </c>
      <c r="T106" s="63" t="n"/>
      <c r="U106" s="63" t="n"/>
      <c r="V106" s="63" t="n"/>
      <c r="W106" s="63" t="n"/>
      <c r="X106" s="63" t="n"/>
      <c r="Y106" s="63" t="n"/>
      <c r="Z106" s="22" t="n"/>
      <c r="AA106" s="23" t="n"/>
      <c r="AC106" s="24" t="n"/>
    </row>
    <row r="107" ht="17" customHeight="1">
      <c r="A107" s="97" t="n"/>
      <c r="B107" s="97" t="n"/>
      <c r="C107" s="63" t="n">
        <v>2</v>
      </c>
      <c r="D107" s="21" t="inlineStr">
        <is>
          <t>Байер сообщил примерное время пребывания в ДЦ</t>
        </is>
      </c>
      <c r="E107" s="63" t="inlineStr">
        <is>
          <t>N/A</t>
        </is>
      </c>
      <c r="F107" s="63" t="inlineStr">
        <is>
          <t>N/A</t>
        </is>
      </c>
      <c r="G107" s="63" t="inlineStr">
        <is>
          <t>N/A</t>
        </is>
      </c>
      <c r="H107" s="63" t="inlineStr">
        <is>
          <t>N/A</t>
        </is>
      </c>
      <c r="I107" s="63" t="n"/>
      <c r="J107" s="63" t="n"/>
      <c r="K107" s="63" t="n"/>
      <c r="L107" s="63" t="n"/>
      <c r="M107" s="63" t="n"/>
      <c r="N107" s="63" t="n"/>
      <c r="O107" s="43">
        <f>AVERAGE(E107:N107)</f>
        <v/>
      </c>
      <c r="P107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07" s="63" t="inlineStr">
        <is>
          <t>нет, знакомства с байером не было</t>
        </is>
      </c>
      <c r="R107" s="63" t="inlineStr">
        <is>
          <t>трейд-ин, способ оплаты не обсуждали, знакомства с байером не было</t>
        </is>
      </c>
      <c r="S107" s="63" t="inlineStr">
        <is>
          <t>знакомства с байером не было</t>
        </is>
      </c>
      <c r="T107" s="63" t="n"/>
      <c r="U107" s="63" t="n"/>
      <c r="V107" s="63" t="n"/>
      <c r="W107" s="63" t="n"/>
      <c r="X107" s="63" t="n"/>
      <c r="Y107" s="63" t="n"/>
      <c r="Z107" s="22" t="n"/>
      <c r="AA107" s="23" t="n"/>
      <c r="AC107" s="24" t="n"/>
    </row>
    <row r="108" ht="17" customHeight="1">
      <c r="A108" s="96" t="n"/>
      <c r="B108" s="96" t="n"/>
      <c r="C108" s="63" t="n">
        <v>3</v>
      </c>
      <c r="D108" s="21" t="inlineStr">
        <is>
          <t>Байер сообщил порядок выкупа АМ</t>
        </is>
      </c>
      <c r="E108" s="63" t="inlineStr">
        <is>
          <t>N/A</t>
        </is>
      </c>
      <c r="F108" s="63" t="inlineStr">
        <is>
          <t>N/A</t>
        </is>
      </c>
      <c r="G108" s="63" t="inlineStr">
        <is>
          <t>N/A</t>
        </is>
      </c>
      <c r="H108" s="63" t="inlineStr">
        <is>
          <t>N/A</t>
        </is>
      </c>
      <c r="I108" s="63" t="n"/>
      <c r="J108" s="63" t="n"/>
      <c r="K108" s="63" t="n"/>
      <c r="L108" s="63" t="n"/>
      <c r="M108" s="63" t="n"/>
      <c r="N108" s="63" t="n"/>
      <c r="O108" s="43">
        <f>AVERAGE(E108:N108)</f>
        <v/>
      </c>
      <c r="P108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08" s="63" t="inlineStr">
        <is>
          <t>нет, знакомства с байером не было</t>
        </is>
      </c>
      <c r="R108" s="63" t="inlineStr">
        <is>
          <t>трейд-ин, способ оплаты не обсуждали, знакомства с байером не было</t>
        </is>
      </c>
      <c r="S108" s="63" t="inlineStr">
        <is>
          <t>знакомства с байером не было</t>
        </is>
      </c>
      <c r="T108" s="63" t="n"/>
      <c r="U108" s="63" t="n"/>
      <c r="V108" s="63" t="n"/>
      <c r="W108" s="63" t="n"/>
      <c r="X108" s="63" t="n"/>
      <c r="Y108" s="63" t="n"/>
      <c r="Z108" s="22" t="n"/>
      <c r="AA108" s="23" t="n"/>
      <c r="AC108" s="24" t="n"/>
    </row>
    <row r="109" ht="17" customHeight="1">
      <c r="A109" s="80" t="n">
        <v>18</v>
      </c>
      <c r="B109" s="68" t="inlineStr">
        <is>
          <t>Проведение кругового осмотра</t>
        </is>
      </c>
      <c r="C109" s="68" t="n">
        <v>1</v>
      </c>
      <c r="D109" s="27" t="inlineStr">
        <is>
          <t>Байер пригласил клиента к автомобилю</t>
        </is>
      </c>
      <c r="E109" s="63" t="inlineStr">
        <is>
          <t>N/A</t>
        </is>
      </c>
      <c r="F109" s="63" t="inlineStr">
        <is>
          <t>N/A</t>
        </is>
      </c>
      <c r="G109" s="63" t="inlineStr">
        <is>
          <t>N/A</t>
        </is>
      </c>
      <c r="H109" s="63" t="inlineStr">
        <is>
          <t>N/A</t>
        </is>
      </c>
      <c r="I109" s="63" t="n"/>
      <c r="J109" s="63" t="n"/>
      <c r="K109" s="63" t="n"/>
      <c r="L109" s="63" t="n"/>
      <c r="M109" s="63" t="n"/>
      <c r="N109" s="63" t="n"/>
      <c r="O109" s="43">
        <f>AVERAGE(E109:N109)</f>
        <v/>
      </c>
      <c r="P109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09" s="63" t="inlineStr">
        <is>
          <t>нет, знакомства с байером не было</t>
        </is>
      </c>
      <c r="R109" s="63" t="inlineStr">
        <is>
          <t>трейд-ин, способ оплаты не обсуждали, знакомства с байером не было</t>
        </is>
      </c>
      <c r="S109" s="63" t="inlineStr">
        <is>
          <t>знакомства с байером не было</t>
        </is>
      </c>
      <c r="T109" s="63" t="n"/>
      <c r="U109" s="63" t="n"/>
      <c r="V109" s="63" t="n"/>
      <c r="W109" s="63" t="n"/>
      <c r="X109" s="63" t="n"/>
      <c r="Y109" s="63" t="n"/>
      <c r="Z109" s="22" t="n"/>
      <c r="AA109" s="23" t="n"/>
      <c r="AC109" s="24" t="n"/>
    </row>
    <row r="110" ht="34" customHeight="1">
      <c r="A110" s="105" t="n"/>
      <c r="B110" s="98" t="n"/>
      <c r="C110" s="69" t="n">
        <v>2</v>
      </c>
      <c r="D110" s="24" t="inlineStr">
        <is>
          <t>При оценке байер использует смартфон (мобильное приложение) и толщиномер</t>
        </is>
      </c>
      <c r="E110" s="63" t="inlineStr">
        <is>
          <t>N/A</t>
        </is>
      </c>
      <c r="F110" s="63" t="inlineStr">
        <is>
          <t>N/A</t>
        </is>
      </c>
      <c r="G110" s="63" t="inlineStr">
        <is>
          <t>N/A</t>
        </is>
      </c>
      <c r="H110" s="63" t="inlineStr">
        <is>
          <t>N/A</t>
        </is>
      </c>
      <c r="I110" s="63" t="n"/>
      <c r="J110" s="63" t="n"/>
      <c r="K110" s="63" t="n"/>
      <c r="L110" s="63" t="n"/>
      <c r="M110" s="63" t="n"/>
      <c r="N110" s="63" t="n"/>
      <c r="O110" s="43">
        <f>AVERAGE(E110:N110)</f>
        <v/>
      </c>
      <c r="P110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0" s="63" t="inlineStr">
        <is>
          <t>нет, знакомства с байером не было</t>
        </is>
      </c>
      <c r="R110" s="63" t="inlineStr">
        <is>
          <t>трейд-ин, способ оплаты не обсуждали, знакомства с байером не было</t>
        </is>
      </c>
      <c r="S110" s="63" t="inlineStr">
        <is>
          <t>знакомства с байером не было</t>
        </is>
      </c>
      <c r="T110" s="63" t="n"/>
      <c r="U110" s="63" t="n"/>
      <c r="V110" s="63" t="n"/>
      <c r="W110" s="63" t="n"/>
      <c r="X110" s="63" t="n"/>
      <c r="Y110" s="63" t="n"/>
      <c r="Z110" s="22" t="n"/>
      <c r="AA110" s="23" t="n"/>
      <c r="AC110" s="24" t="n"/>
    </row>
    <row r="111" ht="17" customHeight="1">
      <c r="A111" s="105" t="n"/>
      <c r="B111" s="98" t="n"/>
      <c r="C111" s="69" t="n">
        <v>3</v>
      </c>
      <c r="D111" s="24" t="inlineStr">
        <is>
          <t>Байер проводит осмотр в присутствии клиента (по умолчанию)</t>
        </is>
      </c>
      <c r="E111" s="63" t="inlineStr">
        <is>
          <t>N/A</t>
        </is>
      </c>
      <c r="F111" s="63" t="inlineStr">
        <is>
          <t>N/A</t>
        </is>
      </c>
      <c r="G111" s="63" t="inlineStr">
        <is>
          <t>N/A</t>
        </is>
      </c>
      <c r="H111" s="63" t="inlineStr">
        <is>
          <t>N/A</t>
        </is>
      </c>
      <c r="I111" s="63" t="n"/>
      <c r="J111" s="63" t="n"/>
      <c r="K111" s="63" t="n"/>
      <c r="L111" s="63" t="n"/>
      <c r="M111" s="63" t="n"/>
      <c r="N111" s="63" t="n"/>
      <c r="O111" s="43">
        <f>AVERAGE(E111:N111)</f>
        <v/>
      </c>
      <c r="P111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1" s="63" t="inlineStr">
        <is>
          <t>нет, знакомства с байером не было</t>
        </is>
      </c>
      <c r="R111" s="63" t="inlineStr">
        <is>
          <t>трейд-ин, способ оплаты не обсуждали, знакомства с байером не было</t>
        </is>
      </c>
      <c r="S111" s="63" t="inlineStr">
        <is>
          <t>знакомства с байером не было</t>
        </is>
      </c>
      <c r="T111" s="63" t="n"/>
      <c r="U111" s="63" t="n"/>
      <c r="V111" s="63" t="n"/>
      <c r="W111" s="63" t="n"/>
      <c r="X111" s="63" t="n"/>
      <c r="Y111" s="63" t="n"/>
      <c r="Z111" s="22" t="n"/>
      <c r="AA111" s="23" t="n"/>
      <c r="AC111" s="24" t="n"/>
    </row>
    <row r="112" ht="34" customHeight="1">
      <c r="A112" s="105" t="n"/>
      <c r="B112" s="98" t="n"/>
      <c r="C112" s="69" t="n">
        <v>4</v>
      </c>
      <c r="D112" s="24" t="inlineStr">
        <is>
          <t>Если клиент не готов присутствовать, байер осуществляет осмотр самостоятельно</t>
        </is>
      </c>
      <c r="E112" s="63" t="inlineStr">
        <is>
          <t>N/A</t>
        </is>
      </c>
      <c r="F112" s="63" t="inlineStr">
        <is>
          <t>N/A</t>
        </is>
      </c>
      <c r="G112" s="63" t="inlineStr">
        <is>
          <t>N/A</t>
        </is>
      </c>
      <c r="H112" s="63" t="inlineStr">
        <is>
          <t>N/A</t>
        </is>
      </c>
      <c r="I112" s="63" t="n"/>
      <c r="J112" s="63" t="n"/>
      <c r="K112" s="63" t="n"/>
      <c r="L112" s="63" t="n"/>
      <c r="M112" s="63" t="n"/>
      <c r="N112" s="63" t="n"/>
      <c r="O112" s="43">
        <f>AVERAGE(E112:N112)</f>
        <v/>
      </c>
      <c r="P112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2" s="63" t="inlineStr">
        <is>
          <t>нет, знакомства с байером не было</t>
        </is>
      </c>
      <c r="R112" s="63" t="inlineStr">
        <is>
          <t>трейд-ин, способ оплаты не обсуждали, знакомства с байером не было</t>
        </is>
      </c>
      <c r="S112" s="63" t="inlineStr">
        <is>
          <t>знакомства с байером не было</t>
        </is>
      </c>
      <c r="T112" s="63" t="n"/>
      <c r="U112" s="63" t="n"/>
      <c r="V112" s="63" t="n"/>
      <c r="W112" s="63" t="n"/>
      <c r="X112" s="63" t="n"/>
      <c r="Y112" s="63" t="n"/>
      <c r="Z112" s="22" t="n"/>
      <c r="AA112" s="23" t="n"/>
      <c r="AC112" s="24" t="n"/>
    </row>
    <row r="113" ht="34" customHeight="1">
      <c r="A113" s="105" t="n"/>
      <c r="B113" s="98" t="n"/>
      <c r="C113" s="69" t="n">
        <v>5</v>
      </c>
      <c r="D113" s="24" t="inlineStr">
        <is>
          <t>В ходе кругового осмотра байер задает уточняющие вопросы об истории эксплуатации АСП</t>
        </is>
      </c>
      <c r="E113" s="63" t="inlineStr">
        <is>
          <t>N/A</t>
        </is>
      </c>
      <c r="F113" s="63" t="inlineStr">
        <is>
          <t>N/A</t>
        </is>
      </c>
      <c r="G113" s="63" t="inlineStr">
        <is>
          <t>N/A</t>
        </is>
      </c>
      <c r="H113" s="63" t="inlineStr">
        <is>
          <t>N/A</t>
        </is>
      </c>
      <c r="I113" s="63" t="n"/>
      <c r="J113" s="63" t="n"/>
      <c r="K113" s="63" t="n"/>
      <c r="L113" s="63" t="n"/>
      <c r="M113" s="63" t="n"/>
      <c r="N113" s="63" t="n"/>
      <c r="O113" s="43">
        <f>AVERAGE(E113:N113)</f>
        <v/>
      </c>
      <c r="P113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3" s="63" t="inlineStr">
        <is>
          <t>нет, знакомства с байером не было</t>
        </is>
      </c>
      <c r="R113" s="63" t="inlineStr">
        <is>
          <t>трейд-ин, способ оплаты не обсуждали, знакомства с байером не было</t>
        </is>
      </c>
      <c r="S113" s="63" t="inlineStr">
        <is>
          <t>знакомства с байером не было</t>
        </is>
      </c>
      <c r="T113" s="63" t="n"/>
      <c r="U113" s="63" t="n"/>
      <c r="V113" s="63" t="n"/>
      <c r="W113" s="63" t="n"/>
      <c r="X113" s="63" t="n"/>
      <c r="Y113" s="63" t="n"/>
      <c r="Z113" s="22" t="n"/>
      <c r="AA113" s="23" t="n"/>
      <c r="AC113" s="24" t="n"/>
    </row>
    <row r="114" ht="17" customHeight="1">
      <c r="A114" s="105" t="n"/>
      <c r="B114" s="99" t="n"/>
      <c r="C114" s="73" t="n">
        <v>6</v>
      </c>
      <c r="D114" s="34" t="inlineStr">
        <is>
          <t>Байер поддерживает диалог в рамках полного кругового осмотра</t>
        </is>
      </c>
      <c r="E114" s="63" t="inlineStr">
        <is>
          <t>N/A</t>
        </is>
      </c>
      <c r="F114" s="63" t="inlineStr">
        <is>
          <t>N/A</t>
        </is>
      </c>
      <c r="G114" s="63" t="inlineStr">
        <is>
          <t>N/A</t>
        </is>
      </c>
      <c r="H114" s="63" t="inlineStr">
        <is>
          <t>N/A</t>
        </is>
      </c>
      <c r="I114" s="63" t="n"/>
      <c r="J114" s="63" t="n"/>
      <c r="K114" s="63" t="n"/>
      <c r="L114" s="63" t="n"/>
      <c r="M114" s="63" t="n"/>
      <c r="N114" s="63" t="n"/>
      <c r="O114" s="43">
        <f>AVERAGE(E114:N114)</f>
        <v/>
      </c>
      <c r="P114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4" s="63" t="inlineStr">
        <is>
          <t>нет, знакомства с байером не было</t>
        </is>
      </c>
      <c r="R114" s="63" t="inlineStr">
        <is>
          <t>трейд-ин, способ оплаты не обсуждали, знакомства с байером не было</t>
        </is>
      </c>
      <c r="S114" s="63" t="inlineStr">
        <is>
          <t>знакомства с байером не было</t>
        </is>
      </c>
      <c r="T114" s="63" t="n"/>
      <c r="U114" s="63" t="n"/>
      <c r="V114" s="63" t="n"/>
      <c r="W114" s="63" t="n"/>
      <c r="X114" s="63" t="n"/>
      <c r="Y114" s="63" t="n"/>
      <c r="Z114" s="22" t="n"/>
      <c r="AA114" s="23" t="n"/>
      <c r="AC114" s="24" t="n"/>
    </row>
    <row r="115" ht="50" customHeight="1">
      <c r="A115" s="63" t="n">
        <v>19</v>
      </c>
      <c r="B115" s="63" t="inlineStr">
        <is>
          <t>Приглашение в зону ожидания</t>
        </is>
      </c>
      <c r="C115" s="63" t="n">
        <v>1</v>
      </c>
      <c r="D115" s="21" t="inlineStr">
        <is>
          <t>После осмотра байер предлагает пройти в ДЦ для ожидания результатов оценки</t>
        </is>
      </c>
      <c r="E115" s="63" t="inlineStr">
        <is>
          <t>N/A</t>
        </is>
      </c>
      <c r="F115" s="63" t="inlineStr">
        <is>
          <t>N/A</t>
        </is>
      </c>
      <c r="G115" s="63" t="inlineStr">
        <is>
          <t>N/A</t>
        </is>
      </c>
      <c r="H115" s="63" t="inlineStr">
        <is>
          <t>N/A</t>
        </is>
      </c>
      <c r="I115" s="63" t="n"/>
      <c r="J115" s="63" t="n"/>
      <c r="K115" s="63" t="n"/>
      <c r="L115" s="63" t="n"/>
      <c r="M115" s="63" t="n"/>
      <c r="N115" s="63" t="n"/>
      <c r="O115" s="43">
        <f>AVERAGE(E115:N115)</f>
        <v/>
      </c>
      <c r="P115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5" s="63" t="inlineStr">
        <is>
          <t>нет, знакомства с байером не было</t>
        </is>
      </c>
      <c r="R115" s="63" t="inlineStr">
        <is>
          <t>трейд-ин, способ оплаты не обсуждали, знакомства с байером не было</t>
        </is>
      </c>
      <c r="S115" s="63" t="inlineStr">
        <is>
          <t>знакомства с байером не было</t>
        </is>
      </c>
      <c r="T115" s="63" t="n"/>
      <c r="U115" s="63" t="n"/>
      <c r="V115" s="63" t="n"/>
      <c r="W115" s="63" t="n"/>
      <c r="X115" s="63" t="n"/>
      <c r="Y115" s="63" t="n"/>
      <c r="Z115" s="22" t="n"/>
      <c r="AA115" s="23" t="n"/>
      <c r="AC115" s="24" t="n"/>
    </row>
    <row r="116" ht="50" customHeight="1">
      <c r="A116" s="96" t="n"/>
      <c r="B116" s="96" t="n"/>
      <c r="C116" s="63" t="n">
        <v>2</v>
      </c>
      <c r="D116" s="21" t="inlineStr">
        <is>
          <t>Байер сообщает примерно время ожидания</t>
        </is>
      </c>
      <c r="E116" s="63" t="inlineStr">
        <is>
          <t>N/A</t>
        </is>
      </c>
      <c r="F116" s="63" t="inlineStr">
        <is>
          <t>N/A</t>
        </is>
      </c>
      <c r="G116" s="63" t="inlineStr">
        <is>
          <t>N/A</t>
        </is>
      </c>
      <c r="H116" s="63" t="inlineStr">
        <is>
          <t>N/A</t>
        </is>
      </c>
      <c r="I116" s="63" t="n"/>
      <c r="J116" s="63" t="n"/>
      <c r="K116" s="63" t="n"/>
      <c r="L116" s="63" t="n"/>
      <c r="M116" s="63" t="n"/>
      <c r="N116" s="63" t="n"/>
      <c r="O116" s="43">
        <f>AVERAGE(E116:N116)</f>
        <v/>
      </c>
      <c r="P116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6" s="63" t="inlineStr">
        <is>
          <t>нет, знакомства с байером не было</t>
        </is>
      </c>
      <c r="R116" s="63" t="inlineStr">
        <is>
          <t>трейд-ин, способ оплаты не обсуждали, знакомства с байером не было</t>
        </is>
      </c>
      <c r="S116" s="63" t="inlineStr">
        <is>
          <t>знакомства с байером не было</t>
        </is>
      </c>
      <c r="T116" s="63" t="n"/>
      <c r="U116" s="63" t="n"/>
      <c r="V116" s="63" t="n"/>
      <c r="W116" s="63" t="n"/>
      <c r="X116" s="63" t="n"/>
      <c r="Y116" s="63" t="n"/>
      <c r="Z116" s="22" t="n"/>
      <c r="AA116" s="23" t="n"/>
      <c r="AC116" s="24" t="n"/>
    </row>
    <row r="117" ht="50" customHeight="1">
      <c r="A117" s="64" t="n">
        <v>20</v>
      </c>
      <c r="B117" s="63" t="inlineStr">
        <is>
          <t>Резюме результатов оценки/осмотра</t>
        </is>
      </c>
      <c r="C117" s="63" t="n">
        <v>2</v>
      </c>
      <c r="D117" s="21" t="inlineStr">
        <is>
          <t>Байер в начале кратко сообщает вводную информацию (АМ, год, цвет, состояние)</t>
        </is>
      </c>
      <c r="E117" s="63" t="inlineStr">
        <is>
          <t>N/A</t>
        </is>
      </c>
      <c r="F117" s="63" t="inlineStr">
        <is>
          <t>N/A</t>
        </is>
      </c>
      <c r="G117" s="63" t="inlineStr">
        <is>
          <t>N/A</t>
        </is>
      </c>
      <c r="H117" s="63" t="inlineStr">
        <is>
          <t>N/A</t>
        </is>
      </c>
      <c r="I117" s="63" t="n"/>
      <c r="J117" s="63" t="n"/>
      <c r="K117" s="63" t="n"/>
      <c r="L117" s="63" t="n"/>
      <c r="M117" s="63" t="n"/>
      <c r="N117" s="63" t="n"/>
      <c r="O117" s="43">
        <f>AVERAGE(E117:N117)</f>
        <v/>
      </c>
      <c r="P117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7" s="63" t="inlineStr">
        <is>
          <t>нет, знакомства с байером не было</t>
        </is>
      </c>
      <c r="R117" s="63" t="inlineStr">
        <is>
          <t>трейд-ин, способ оплаты не обсуждали, знакомства с байером не было</t>
        </is>
      </c>
      <c r="S117" s="63" t="inlineStr">
        <is>
          <t>знакомства с байером не было</t>
        </is>
      </c>
      <c r="T117" s="63" t="n"/>
      <c r="U117" s="63" t="n"/>
      <c r="V117" s="63" t="n"/>
      <c r="W117" s="63" t="n"/>
      <c r="X117" s="63" t="n"/>
      <c r="Y117" s="63" t="n"/>
      <c r="Z117" s="22" t="n"/>
      <c r="AA117" s="23" t="n"/>
      <c r="AC117" s="24" t="n"/>
    </row>
    <row r="118" ht="50" customHeight="1">
      <c r="A118" s="97" t="n"/>
      <c r="B118" s="97" t="n"/>
      <c r="C118" s="63" t="n">
        <v>3</v>
      </c>
      <c r="D118" s="21" t="inlineStr">
        <is>
          <t>Байер перечисляет плюсы конкретного АМ</t>
        </is>
      </c>
      <c r="E118" s="63" t="inlineStr">
        <is>
          <t>N/A</t>
        </is>
      </c>
      <c r="F118" s="63" t="inlineStr">
        <is>
          <t>N/A</t>
        </is>
      </c>
      <c r="G118" s="63" t="inlineStr">
        <is>
          <t>N/A</t>
        </is>
      </c>
      <c r="H118" s="63" t="inlineStr">
        <is>
          <t>N/A</t>
        </is>
      </c>
      <c r="I118" s="63" t="n"/>
      <c r="J118" s="63" t="n"/>
      <c r="K118" s="63" t="n"/>
      <c r="L118" s="63" t="n"/>
      <c r="M118" s="63" t="n"/>
      <c r="N118" s="63" t="n"/>
      <c r="O118" s="43">
        <f>AVERAGE(E118:N118)</f>
        <v/>
      </c>
      <c r="P118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8" s="63" t="inlineStr">
        <is>
          <t>нет, знакомства с байером не было</t>
        </is>
      </c>
      <c r="R118" s="63" t="inlineStr">
        <is>
          <t>трейд-ин, способ оплаты не обсуждали, знакомства с байером не было</t>
        </is>
      </c>
      <c r="S118" s="63" t="inlineStr">
        <is>
          <t>знакомства с байером не было</t>
        </is>
      </c>
      <c r="T118" s="63" t="n"/>
      <c r="U118" s="63" t="n"/>
      <c r="V118" s="63" t="n"/>
      <c r="W118" s="63" t="n"/>
      <c r="X118" s="63" t="n"/>
      <c r="Y118" s="63" t="n"/>
      <c r="Z118" s="22" t="n"/>
      <c r="AA118" s="23" t="n"/>
      <c r="AC118" s="24" t="n"/>
    </row>
    <row r="119" ht="50" customHeight="1">
      <c r="A119" s="97" t="n"/>
      <c r="B119" s="97" t="n"/>
      <c r="C119" s="63" t="n">
        <v>4</v>
      </c>
      <c r="D119" s="21" t="inlineStr">
        <is>
          <t>Байер перечисляет минусы конкретного АМ</t>
        </is>
      </c>
      <c r="E119" s="63" t="inlineStr">
        <is>
          <t>N/A</t>
        </is>
      </c>
      <c r="F119" s="63" t="inlineStr">
        <is>
          <t>N/A</t>
        </is>
      </c>
      <c r="G119" s="63" t="inlineStr">
        <is>
          <t>N/A</t>
        </is>
      </c>
      <c r="H119" s="63" t="inlineStr">
        <is>
          <t>N/A</t>
        </is>
      </c>
      <c r="I119" s="63" t="n"/>
      <c r="J119" s="63" t="n"/>
      <c r="K119" s="63" t="n"/>
      <c r="L119" s="63" t="n"/>
      <c r="M119" s="63" t="n"/>
      <c r="N119" s="63" t="n"/>
      <c r="O119" s="43">
        <f>AVERAGE(E119:N119)</f>
        <v/>
      </c>
      <c r="P119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19" s="63" t="inlineStr">
        <is>
          <t>нет, знакомства с байером не было</t>
        </is>
      </c>
      <c r="R119" s="63" t="inlineStr">
        <is>
          <t>трейд-ин, способ оплаты не обсуждали, знакомства с байером не было</t>
        </is>
      </c>
      <c r="S119" s="63" t="inlineStr">
        <is>
          <t>знакомства с байером не было</t>
        </is>
      </c>
      <c r="T119" s="63" t="n"/>
      <c r="U119" s="63" t="n"/>
      <c r="V119" s="63" t="n"/>
      <c r="W119" s="63" t="n"/>
      <c r="X119" s="63" t="n"/>
      <c r="Y119" s="63" t="n"/>
      <c r="Z119" s="22" t="n"/>
      <c r="AA119" s="23" t="n"/>
      <c r="AC119" s="24" t="n"/>
    </row>
    <row r="120" ht="50" customHeight="1">
      <c r="A120" s="97" t="n"/>
      <c r="B120" s="97" t="n"/>
      <c r="C120" s="63" t="n">
        <v>5</v>
      </c>
      <c r="D120" s="21" t="inlineStr">
        <is>
          <t>Байер сообщает результаты юр. проверки, обращает внимание на выявленные недостатки</t>
        </is>
      </c>
      <c r="E120" s="63" t="inlineStr">
        <is>
          <t>N/A</t>
        </is>
      </c>
      <c r="F120" s="63" t="inlineStr">
        <is>
          <t>N/A</t>
        </is>
      </c>
      <c r="G120" s="63" t="inlineStr">
        <is>
          <t>N/A</t>
        </is>
      </c>
      <c r="H120" s="63" t="inlineStr">
        <is>
          <t>N/A</t>
        </is>
      </c>
      <c r="I120" s="63" t="n"/>
      <c r="J120" s="63" t="n"/>
      <c r="K120" s="63" t="n"/>
      <c r="L120" s="63" t="n"/>
      <c r="M120" s="63" t="n"/>
      <c r="N120" s="63" t="n"/>
      <c r="O120" s="43">
        <f>AVERAGE(E120:N120)</f>
        <v/>
      </c>
      <c r="P120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20" s="63" t="inlineStr">
        <is>
          <t>нет, знакомства с байером не было</t>
        </is>
      </c>
      <c r="R120" s="63" t="inlineStr">
        <is>
          <t>трейд-ин, способ оплаты не обсуждали, знакомства с байером не было</t>
        </is>
      </c>
      <c r="S120" s="63" t="inlineStr">
        <is>
          <t>знакомства с байером не было</t>
        </is>
      </c>
      <c r="T120" s="63" t="n"/>
      <c r="U120" s="63" t="n"/>
      <c r="V120" s="63" t="n"/>
      <c r="W120" s="63" t="n"/>
      <c r="X120" s="63" t="n"/>
      <c r="Y120" s="63" t="n"/>
      <c r="Z120" s="22" t="n"/>
      <c r="AA120" s="23" t="n"/>
      <c r="AC120" s="24" t="n"/>
    </row>
    <row r="121" ht="68" customHeight="1">
      <c r="A121" s="97" t="n"/>
      <c r="B121" s="97" t="n"/>
      <c r="C121" s="63" t="n">
        <v>6</v>
      </c>
      <c r="D121" s="21" t="inlineStr">
        <is>
          <t>Байер дает краткий вывод по рынку предложений и по ликвидности модели (какой общий объем предложений и с какой скоростью продаются АМ)</t>
        </is>
      </c>
      <c r="E121" s="63" t="inlineStr">
        <is>
          <t>N/A</t>
        </is>
      </c>
      <c r="F121" s="63" t="inlineStr">
        <is>
          <t>N/A</t>
        </is>
      </c>
      <c r="G121" s="63" t="inlineStr">
        <is>
          <t>N/A</t>
        </is>
      </c>
      <c r="H121" s="63" t="inlineStr">
        <is>
          <t>N/A</t>
        </is>
      </c>
      <c r="I121" s="63" t="n"/>
      <c r="J121" s="63" t="n"/>
      <c r="K121" s="63" t="n"/>
      <c r="L121" s="63" t="n"/>
      <c r="M121" s="63" t="n"/>
      <c r="N121" s="63" t="n"/>
      <c r="O121" s="43">
        <f>AVERAGE(E121:N121)</f>
        <v/>
      </c>
      <c r="P121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21" s="63" t="inlineStr">
        <is>
          <t>нет, знакомства с байером не было</t>
        </is>
      </c>
      <c r="R121" s="63" t="inlineStr">
        <is>
          <t>трейд-ин, способ оплаты не обсуждали, знакомства с байером не было</t>
        </is>
      </c>
      <c r="S121" s="63" t="inlineStr">
        <is>
          <t>знакомства с байером не было</t>
        </is>
      </c>
      <c r="T121" s="63" t="n"/>
      <c r="U121" s="63" t="n"/>
      <c r="V121" s="63" t="n"/>
      <c r="W121" s="63" t="n"/>
      <c r="X121" s="63" t="n"/>
      <c r="Y121" s="63" t="n"/>
      <c r="Z121" s="22" t="n"/>
      <c r="AA121" s="23" t="n"/>
      <c r="AC121" s="24" t="n"/>
    </row>
    <row r="122" ht="68" customHeight="1">
      <c r="A122" s="97" t="n"/>
      <c r="B122" s="96" t="n"/>
      <c r="C122" s="63" t="n">
        <v>7</v>
      </c>
      <c r="D122" s="21" t="inlineStr">
        <is>
          <t>Байер в качестве резюме приводит сумму выкупа, которую здесь и сейчас ДЦ готов предложить за АМ</t>
        </is>
      </c>
      <c r="E122" s="63" t="inlineStr">
        <is>
          <t>N/A</t>
        </is>
      </c>
      <c r="F122" s="63" t="inlineStr">
        <is>
          <t>N/A</t>
        </is>
      </c>
      <c r="G122" s="63" t="inlineStr">
        <is>
          <t>N/A</t>
        </is>
      </c>
      <c r="H122" s="63" t="inlineStr">
        <is>
          <t>N/A</t>
        </is>
      </c>
      <c r="I122" s="63" t="n"/>
      <c r="J122" s="63" t="n"/>
      <c r="K122" s="63" t="n"/>
      <c r="L122" s="63" t="n"/>
      <c r="M122" s="63" t="n"/>
      <c r="N122" s="63" t="n"/>
      <c r="O122" s="43">
        <f>AVERAGE(E122:N122)</f>
        <v/>
      </c>
      <c r="P122" s="63" t="inlineStr">
        <is>
          <t>продавец делал предварительную оценку, проведя анализ аналогичных предложений на рынке. в связи с тем, что парковка была заполнена, я припарковался на расстоянии от ДЦ, поэтому осмотра авто не было</t>
        </is>
      </c>
      <c r="Q122" s="63" t="inlineStr">
        <is>
          <t>нет, знакомства с байером не было</t>
        </is>
      </c>
      <c r="R122" s="63" t="inlineStr">
        <is>
          <t>трейд-ин, способ оплаты не обсуждали, знакомства с байером не было</t>
        </is>
      </c>
      <c r="S122" s="63" t="inlineStr">
        <is>
          <t>знакомства с байером не было</t>
        </is>
      </c>
      <c r="T122" s="63" t="n"/>
      <c r="U122" s="63" t="n"/>
      <c r="V122" s="63" t="n"/>
      <c r="W122" s="63" t="n"/>
      <c r="X122" s="63" t="n"/>
      <c r="Y122" s="63" t="n"/>
      <c r="Z122" s="22" t="n"/>
      <c r="AA122" s="23" t="n"/>
      <c r="AC122" s="24" t="n"/>
    </row>
    <row r="123" ht="68" customHeight="1">
      <c r="A123" s="69" t="n">
        <v>21</v>
      </c>
      <c r="B123" s="35" t="inlineStr">
        <is>
          <t>Особые условия (опционально)</t>
        </is>
      </c>
      <c r="C123" s="69" t="n">
        <v>1</v>
      </c>
      <c r="D123" s="24" t="inlineStr">
        <is>
          <t>Отказ байера от мотивации со стороны продавца (ТП) за более выгодный выкуп</t>
        </is>
      </c>
      <c r="E123" s="63" t="inlineStr">
        <is>
          <t>N/A</t>
        </is>
      </c>
      <c r="F123" s="63" t="inlineStr">
        <is>
          <t>N/A</t>
        </is>
      </c>
      <c r="G123" s="63" t="inlineStr">
        <is>
          <t>N/A</t>
        </is>
      </c>
      <c r="H123" s="63" t="inlineStr">
        <is>
          <t>N/A</t>
        </is>
      </c>
      <c r="I123" s="63" t="n"/>
      <c r="J123" s="63" t="n"/>
      <c r="K123" s="63" t="n"/>
      <c r="L123" s="63" t="n"/>
      <c r="M123" s="63" t="n"/>
      <c r="N123" s="63" t="n"/>
      <c r="O123" s="43">
        <f>AVERAGE(E123:N123)</f>
        <v/>
      </c>
      <c r="P123" s="63" t="inlineStr">
        <is>
          <t>провокации байера не было</t>
        </is>
      </c>
      <c r="Q123" s="63" t="inlineStr">
        <is>
          <t>нет, знакомства с байером не было</t>
        </is>
      </c>
      <c r="R123" s="63" t="inlineStr">
        <is>
          <t>трейд-ин, способ оплаты не обсуждали, знакомства с байером не было</t>
        </is>
      </c>
      <c r="S123" s="63" t="inlineStr">
        <is>
          <t>знакомства с байером не было</t>
        </is>
      </c>
      <c r="T123" s="63" t="n"/>
      <c r="U123" s="63" t="n"/>
      <c r="V123" s="63" t="n"/>
      <c r="W123" s="63" t="n"/>
      <c r="X123" s="63" t="n"/>
      <c r="Y123" s="63" t="n"/>
      <c r="Z123" s="22" t="n"/>
      <c r="AA123" s="23" t="n"/>
      <c r="AC123" s="24" t="n"/>
    </row>
    <row r="124" ht="48" customHeight="1">
      <c r="A124" s="63" t="n">
        <v>22</v>
      </c>
      <c r="B124" s="63" t="inlineStr">
        <is>
          <t>Знакомство с КСО</t>
        </is>
      </c>
      <c r="C124" s="63" t="n">
        <v>1</v>
      </c>
      <c r="D124" s="21" t="inlineStr">
        <is>
          <t>Продавец проактивно предложил познакомиться с КСО мотивируя это выгодой для клиента (скидка, свободные личные средства и другое)</t>
        </is>
      </c>
      <c r="E124" s="63" t="n">
        <v>1</v>
      </c>
      <c r="F124" s="63" t="n">
        <v>1</v>
      </c>
      <c r="G124" s="63" t="n">
        <v>0</v>
      </c>
      <c r="H124" s="63" t="inlineStr">
        <is>
          <t>N/A</t>
        </is>
      </c>
      <c r="I124" s="63" t="n"/>
      <c r="J124" s="63" t="n"/>
      <c r="K124" s="63" t="n"/>
      <c r="L124" s="63" t="n"/>
      <c r="M124" s="63" t="n"/>
      <c r="N124" s="63" t="n"/>
      <c r="O124" s="43">
        <f>AVERAGE(E124:N124)</f>
        <v/>
      </c>
      <c r="P124" s="63" t="inlineStr">
        <is>
          <t>предложил посчитать кредит</t>
        </is>
      </c>
      <c r="Q124" s="63" t="inlineStr">
        <is>
          <t>да, предложил</t>
        </is>
      </c>
      <c r="R124" s="63" t="inlineStr">
        <is>
          <t>трейд-ин, способ оплаты не обсуждали, знакомства с КСО не было</t>
        </is>
      </c>
      <c r="S124" s="63" t="inlineStr">
        <is>
          <t>продавец не предлагал знакомства с КСО, так как процент предлагаемый при кредитовании мне не подошел</t>
        </is>
      </c>
      <c r="T124" s="63" t="n"/>
      <c r="U124" s="63" t="n"/>
      <c r="V124" s="63" t="n"/>
      <c r="W124" s="63" t="n"/>
      <c r="X124" s="63" t="n"/>
      <c r="Y124" s="63" t="n"/>
      <c r="Z124" s="22" t="n"/>
      <c r="AA124" s="23" t="n"/>
      <c r="AC124" s="24" t="n"/>
    </row>
    <row r="125" ht="48" customHeight="1">
      <c r="A125" s="97" t="n"/>
      <c r="B125" s="97" t="n"/>
      <c r="C125" s="63" t="n">
        <v>2</v>
      </c>
      <c r="D125" s="21" t="inlineStr">
        <is>
          <t>Продавец уточнил у КСО готовность принять клиента и после этого пригласил перейти в отдел КСО</t>
        </is>
      </c>
      <c r="E125" s="63" t="n">
        <v>1</v>
      </c>
      <c r="F125" s="63" t="n">
        <v>1</v>
      </c>
      <c r="G125" s="63" t="inlineStr">
        <is>
          <t>N/A</t>
        </is>
      </c>
      <c r="H125" s="63" t="inlineStr">
        <is>
          <t>N/A</t>
        </is>
      </c>
      <c r="I125" s="63" t="n"/>
      <c r="J125" s="63" t="n"/>
      <c r="K125" s="63" t="n"/>
      <c r="L125" s="63" t="n"/>
      <c r="M125" s="63" t="n"/>
      <c r="N125" s="63" t="n"/>
      <c r="O125" s="43">
        <f>AVERAGE(E125:N125)</f>
        <v/>
      </c>
      <c r="P125" s="63" t="inlineStr">
        <is>
          <t>уточнил, может ли менеджер КСО сделать расчет</t>
        </is>
      </c>
      <c r="Q125" s="63" t="inlineStr">
        <is>
          <t>да, пригласил</t>
        </is>
      </c>
      <c r="R125" s="63" t="inlineStr">
        <is>
          <t>трейд-ин, способ оплаты не обсуждали, знакомства с КСО не было</t>
        </is>
      </c>
      <c r="S125" s="63" t="inlineStr">
        <is>
          <t>продавец не предлагал знакомства с КСО, так как процент предлагаемый при кредитовании мне не подошел</t>
        </is>
      </c>
      <c r="T125" s="63" t="n"/>
      <c r="U125" s="63" t="n"/>
      <c r="V125" s="63" t="n"/>
      <c r="W125" s="63" t="n"/>
      <c r="X125" s="63" t="n"/>
      <c r="Y125" s="63" t="n"/>
      <c r="Z125" s="22" t="n"/>
      <c r="AA125" s="23" t="n"/>
      <c r="AC125" s="24" t="n"/>
    </row>
    <row r="126" ht="48" customHeight="1">
      <c r="A126" s="97" t="n"/>
      <c r="B126" s="97" t="n"/>
      <c r="C126" s="63" t="n">
        <v>3</v>
      </c>
      <c r="D126" s="21" t="inlineStr">
        <is>
          <t>Продавец знакомит клиента с отделом КСО и кратко сообщает параметры АСП</t>
        </is>
      </c>
      <c r="E126" s="63" t="n">
        <v>1</v>
      </c>
      <c r="F126" s="63" t="inlineStr">
        <is>
          <t>N/A</t>
        </is>
      </c>
      <c r="G126" s="63" t="inlineStr">
        <is>
          <t>N/A</t>
        </is>
      </c>
      <c r="H126" s="63" t="inlineStr">
        <is>
          <t>N/A</t>
        </is>
      </c>
      <c r="I126" s="63" t="n"/>
      <c r="J126" s="63" t="n"/>
      <c r="K126" s="63" t="n"/>
      <c r="L126" s="63" t="n"/>
      <c r="M126" s="63" t="n"/>
      <c r="N126" s="63" t="n"/>
      <c r="O126" s="43">
        <f>AVERAGE(E126:N126)</f>
        <v/>
      </c>
      <c r="P126" s="63" t="inlineStr">
        <is>
          <t>познакомил, сообщил параметры</t>
        </is>
      </c>
      <c r="Q126" s="63" t="inlineStr">
        <is>
          <t>да, познакомил</t>
        </is>
      </c>
      <c r="R126" s="63" t="inlineStr">
        <is>
          <t>трейд-ин, способ оплаты не обсуждали, знакомства с КСО не было</t>
        </is>
      </c>
      <c r="S126" s="63" t="inlineStr">
        <is>
          <t>продавец не предлагал знакомства с КСО, так как процент предлагаемый при кредитовании мне не подошел</t>
        </is>
      </c>
      <c r="T126" s="63" t="n"/>
      <c r="U126" s="63" t="n"/>
      <c r="V126" s="63" t="n"/>
      <c r="W126" s="63" t="n"/>
      <c r="X126" s="63" t="n"/>
      <c r="Y126" s="63" t="n"/>
      <c r="Z126" s="22" t="n"/>
      <c r="AA126" s="23" t="n"/>
      <c r="AC126" s="24" t="n"/>
    </row>
    <row r="127" ht="48" customHeight="1">
      <c r="A127" s="97" t="n"/>
      <c r="B127" s="97" t="n"/>
      <c r="C127" s="63" t="n">
        <v>4</v>
      </c>
      <c r="D127" s="21" t="inlineStr">
        <is>
          <t>Продавец присутствует при общении клиента с сотрудником КСО</t>
        </is>
      </c>
      <c r="E127" s="63" t="n">
        <v>1</v>
      </c>
      <c r="F127" s="63" t="n">
        <v>1</v>
      </c>
      <c r="G127" s="63" t="inlineStr">
        <is>
          <t>N/A</t>
        </is>
      </c>
      <c r="H127" s="63" t="inlineStr">
        <is>
          <t>N/A</t>
        </is>
      </c>
      <c r="I127" s="63" t="n"/>
      <c r="J127" s="63" t="n"/>
      <c r="K127" s="63" t="n"/>
      <c r="L127" s="63" t="n"/>
      <c r="M127" s="63" t="n"/>
      <c r="N127" s="63" t="n"/>
      <c r="O127" s="43">
        <f>AVERAGE(E127:N127)</f>
        <v/>
      </c>
      <c r="P127" s="63" t="inlineStr">
        <is>
          <t>да, продавец присутствовал при общении</t>
        </is>
      </c>
      <c r="Q127" s="63" t="inlineStr">
        <is>
          <t>да, продавец находился рядом</t>
        </is>
      </c>
      <c r="R127" s="63" t="inlineStr">
        <is>
          <t>трейд-ин, способ оплаты не обсуждали, знакомства с КСО не было</t>
        </is>
      </c>
      <c r="S127" s="63" t="inlineStr">
        <is>
          <t>продавец не предлагал знакомства с КСО, так как процент предлагаемый при кредитовании мне не подошел</t>
        </is>
      </c>
      <c r="T127" s="63" t="n"/>
      <c r="U127" s="63" t="n"/>
      <c r="V127" s="63" t="n"/>
      <c r="W127" s="63" t="n"/>
      <c r="X127" s="63" t="n"/>
      <c r="Y127" s="63" t="n"/>
      <c r="Z127" s="22" t="n"/>
      <c r="AA127" s="23" t="n"/>
      <c r="AC127" s="24" t="n"/>
    </row>
    <row r="128" ht="48" customHeight="1">
      <c r="A128" s="97" t="n"/>
      <c r="B128" s="97" t="n"/>
      <c r="C128" s="63" t="n">
        <v>5</v>
      </c>
      <c r="D128" s="21" t="inlineStr">
        <is>
          <t>Сотрудник КСО выявляет суммы комфортного ежемесячного платежа и учитывает полученную информацию в параметрах кредита</t>
        </is>
      </c>
      <c r="E128" s="63" t="n">
        <v>1</v>
      </c>
      <c r="F128" s="63" t="n">
        <v>1</v>
      </c>
      <c r="G128" s="63" t="inlineStr">
        <is>
          <t>N/A</t>
        </is>
      </c>
      <c r="H128" s="63" t="inlineStr">
        <is>
          <t>N/A</t>
        </is>
      </c>
      <c r="I128" s="63" t="n"/>
      <c r="J128" s="63" t="n"/>
      <c r="K128" s="63" t="n"/>
      <c r="L128" s="63" t="n"/>
      <c r="M128" s="63" t="n"/>
      <c r="N128" s="63" t="n"/>
      <c r="O128" s="43">
        <f>AVERAGE(E128:N128)</f>
        <v/>
      </c>
      <c r="P128" s="63" t="inlineStr">
        <is>
          <t>сотрудник уточнила комфортные параметры, озвучила расчеты</t>
        </is>
      </c>
      <c r="Q128" s="63" t="inlineStr">
        <is>
          <t>да, уточнил комфортные срок и сумму платежа</t>
        </is>
      </c>
      <c r="R128" s="63" t="inlineStr">
        <is>
          <t>трейд-ин, способ оплаты не обсуждали, знакомства с КСО не было</t>
        </is>
      </c>
      <c r="S128" s="63" t="inlineStr">
        <is>
          <t>продавец не предлагал знакомства с КСО, так как процент предлагаемый при кредитовании мне не подошел</t>
        </is>
      </c>
      <c r="T128" s="63" t="n"/>
      <c r="U128" s="63" t="n"/>
      <c r="V128" s="63" t="n"/>
      <c r="W128" s="63" t="n"/>
      <c r="X128" s="63" t="n"/>
      <c r="Y128" s="63" t="n"/>
      <c r="Z128" s="22" t="n"/>
      <c r="AA128" s="23" t="n"/>
      <c r="AC128" s="24" t="n"/>
    </row>
    <row r="129" ht="48" customHeight="1">
      <c r="A129" s="97" t="n"/>
      <c r="B129" s="97" t="n"/>
      <c r="C129" s="63" t="n">
        <v>6</v>
      </c>
      <c r="D129" s="21" t="inlineStr">
        <is>
          <t>Сотрудник КСО осуществляет подготовку расчета и презентует условия клиенту в формате 'взнос / платеж / срок кредита'</t>
        </is>
      </c>
      <c r="E129" s="63" t="n">
        <v>1</v>
      </c>
      <c r="F129" s="63" t="n">
        <v>1</v>
      </c>
      <c r="G129" s="63" t="inlineStr">
        <is>
          <t>N/A</t>
        </is>
      </c>
      <c r="H129" s="63" t="inlineStr">
        <is>
          <t>N/A</t>
        </is>
      </c>
      <c r="I129" s="63" t="n"/>
      <c r="J129" s="63" t="n"/>
      <c r="K129" s="63" t="n"/>
      <c r="L129" s="63" t="n"/>
      <c r="M129" s="63" t="n"/>
      <c r="N129" s="63" t="n"/>
      <c r="O129" s="43">
        <f>AVERAGE(E129:N129)</f>
        <v/>
      </c>
      <c r="P129" s="63" t="inlineStr">
        <is>
          <t>да, назвала условия, суммы взноса, платежа, срок</t>
        </is>
      </c>
      <c r="Q129" s="63" t="inlineStr">
        <is>
          <t>да, презентовал в форме "взнос / платеж / срок кредита"</t>
        </is>
      </c>
      <c r="R129" s="63" t="inlineStr">
        <is>
          <t>трейд-ин, способ оплаты не обсуждали, знакомства с КСО не было</t>
        </is>
      </c>
      <c r="S129" s="63" t="inlineStr">
        <is>
          <t>продавец не предлагал знакомства с КСО, так как процент предлагаемый при кредитовании мне не подошел</t>
        </is>
      </c>
      <c r="T129" s="63" t="n"/>
      <c r="U129" s="63" t="n"/>
      <c r="V129" s="63" t="n"/>
      <c r="W129" s="63" t="n"/>
      <c r="X129" s="63" t="n"/>
      <c r="Y129" s="63" t="n"/>
      <c r="Z129" s="22" t="n"/>
      <c r="AA129" s="23" t="n"/>
      <c r="AC129" s="24" t="n"/>
    </row>
    <row r="130" ht="48" customHeight="1">
      <c r="A130" s="97" t="n"/>
      <c r="B130" s="97" t="n"/>
      <c r="C130" s="63" t="n">
        <v>7</v>
      </c>
      <c r="D130" s="21" t="inlineStr">
        <is>
          <t>Предлагает на выбор минимум 2-а кредитных продукта (не более 4-х)</t>
        </is>
      </c>
      <c r="E130" s="63" t="n">
        <v>1</v>
      </c>
      <c r="F130" s="63" t="n">
        <v>0</v>
      </c>
      <c r="G130" s="63" t="inlineStr">
        <is>
          <t>N/A</t>
        </is>
      </c>
      <c r="H130" s="63" t="inlineStr">
        <is>
          <t>N/A</t>
        </is>
      </c>
      <c r="I130" s="63" t="n"/>
      <c r="J130" s="63" t="n"/>
      <c r="K130" s="63" t="n"/>
      <c r="L130" s="63" t="n"/>
      <c r="M130" s="63" t="n"/>
      <c r="N130" s="63" t="n"/>
      <c r="O130" s="43">
        <f>AVERAGE(E130:N130)</f>
        <v/>
      </c>
      <c r="P130" s="63" t="inlineStr">
        <is>
          <t>да, озвучила несколько вариантов</t>
        </is>
      </c>
      <c r="Q130" s="63" t="inlineStr">
        <is>
          <t>нет, обсудили один вариант</t>
        </is>
      </c>
      <c r="R130" s="63" t="inlineStr">
        <is>
          <t>трейд-ин, способ оплаты не обсуждали, знакомства с КСО не было</t>
        </is>
      </c>
      <c r="S130" s="63" t="inlineStr">
        <is>
          <t>продавец не предлагал знакомства с КСО, так как процент предлагаемый при кредитовании мне не подошел</t>
        </is>
      </c>
      <c r="T130" s="63" t="n"/>
      <c r="U130" s="63" t="n"/>
      <c r="V130" s="63" t="n"/>
      <c r="W130" s="63" t="n"/>
      <c r="X130" s="63" t="n"/>
      <c r="Y130" s="63" t="n"/>
      <c r="Z130" s="22" t="n"/>
      <c r="AA130" s="23" t="n"/>
      <c r="AC130" s="24" t="n"/>
    </row>
    <row r="131" ht="48" customHeight="1">
      <c r="A131" s="97" t="n"/>
      <c r="B131" s="97" t="n"/>
      <c r="C131" s="63" t="n">
        <v>8</v>
      </c>
      <c r="D131" s="21" t="inlineStr">
        <is>
          <t>Уточняет готовность клиента подать документы для рассмотрения заявки на кредит</t>
        </is>
      </c>
      <c r="E131" s="63" t="n">
        <v>0</v>
      </c>
      <c r="F131" s="63" t="n">
        <v>1</v>
      </c>
      <c r="G131" s="63" t="inlineStr">
        <is>
          <t>N/A</t>
        </is>
      </c>
      <c r="H131" s="63" t="inlineStr">
        <is>
          <t>N/A</t>
        </is>
      </c>
      <c r="I131" s="63" t="n"/>
      <c r="J131" s="63" t="n"/>
      <c r="K131" s="63" t="n"/>
      <c r="L131" s="63" t="n"/>
      <c r="M131" s="63" t="n"/>
      <c r="N131" s="63" t="n"/>
      <c r="O131" s="43">
        <f>AVERAGE(E131:N131)</f>
        <v/>
      </c>
      <c r="P131" s="63" t="inlineStr">
        <is>
          <t>не уточняла, так как расчет был предварительным</t>
        </is>
      </c>
      <c r="Q131" s="63" t="inlineStr">
        <is>
          <t>да, уточнил</t>
        </is>
      </c>
      <c r="R131" s="63" t="inlineStr">
        <is>
          <t>трейд-ин, способ оплаты не обсуждали, знакомства с КСО не было</t>
        </is>
      </c>
      <c r="S131" s="63" t="inlineStr">
        <is>
          <t>продавец не предлагал знакомства с КСО, так как процент предлагаемый при кредитовании мне не подошел</t>
        </is>
      </c>
      <c r="T131" s="63" t="n"/>
      <c r="U131" s="63" t="n"/>
      <c r="V131" s="63" t="n"/>
      <c r="W131" s="63" t="n"/>
      <c r="X131" s="63" t="n"/>
      <c r="Y131" s="63" t="n"/>
      <c r="Z131" s="22" t="n"/>
      <c r="AA131" s="23" t="n"/>
      <c r="AC131" s="24" t="n"/>
    </row>
    <row r="132" ht="48" customHeight="1">
      <c r="A132" s="97" t="n"/>
      <c r="B132" s="97" t="n"/>
      <c r="C132" s="63" t="n">
        <v>9</v>
      </c>
      <c r="D132" s="21" t="inlineStr">
        <is>
          <t>Информирует о времени, необходимом для оформления заявки на кредит</t>
        </is>
      </c>
      <c r="E132" s="63" t="n">
        <v>1</v>
      </c>
      <c r="F132" s="63" t="n">
        <v>1</v>
      </c>
      <c r="G132" s="63" t="inlineStr">
        <is>
          <t>N/A</t>
        </is>
      </c>
      <c r="H132" s="63" t="inlineStr">
        <is>
          <t>N/A</t>
        </is>
      </c>
      <c r="I132" s="63" t="n"/>
      <c r="J132" s="63" t="n"/>
      <c r="K132" s="63" t="n"/>
      <c r="L132" s="63" t="n"/>
      <c r="M132" s="63" t="n"/>
      <c r="N132" s="63" t="n"/>
      <c r="O132" s="43">
        <f>AVERAGE(E132:N132)</f>
        <v/>
      </c>
      <c r="P132" s="63" t="inlineStr">
        <is>
          <t>озвучила примерное время</t>
        </is>
      </c>
      <c r="Q132" s="63" t="inlineStr">
        <is>
          <t>да, озвучил</t>
        </is>
      </c>
      <c r="R132" s="63" t="inlineStr">
        <is>
          <t>трейд-ин, способ оплаты не обсуждали, знакомства с КСО не было</t>
        </is>
      </c>
      <c r="S132" s="63" t="inlineStr">
        <is>
          <t>продавец не предлагал знакомства с КСО, так как процент предлагаемый при кредитовании мне не подошел</t>
        </is>
      </c>
      <c r="T132" s="63" t="n"/>
      <c r="U132" s="63" t="n"/>
      <c r="V132" s="63" t="n"/>
      <c r="W132" s="63" t="n"/>
      <c r="X132" s="63" t="n"/>
      <c r="Y132" s="63" t="n"/>
      <c r="Z132" s="22" t="n"/>
      <c r="AA132" s="23" t="n"/>
      <c r="AC132" s="24" t="n"/>
    </row>
    <row r="133" ht="48" customHeight="1">
      <c r="A133" s="97" t="n"/>
      <c r="B133" s="97" t="n"/>
      <c r="C133" s="63" t="n">
        <v>10</v>
      </c>
      <c r="D133" s="21" t="inlineStr">
        <is>
          <t>Фиксирует договоренности с клиентом по визиту на оформление заявки/кредита</t>
        </is>
      </c>
      <c r="E133" s="63" t="n">
        <v>1</v>
      </c>
      <c r="F133" s="63" t="inlineStr">
        <is>
          <t>N/A</t>
        </is>
      </c>
      <c r="G133" s="63" t="inlineStr">
        <is>
          <t>N/A</t>
        </is>
      </c>
      <c r="H133" s="63" t="inlineStr">
        <is>
          <t>N/A</t>
        </is>
      </c>
      <c r="I133" s="63" t="n"/>
      <c r="J133" s="63" t="n"/>
      <c r="K133" s="63" t="n"/>
      <c r="L133" s="63" t="n"/>
      <c r="M133" s="63" t="n"/>
      <c r="N133" s="63" t="n"/>
      <c r="O133" s="43">
        <f>AVERAGE(E133:N133)</f>
        <v/>
      </c>
      <c r="P133" s="63" t="inlineStr">
        <is>
          <t>зафиксировала договоренности</t>
        </is>
      </c>
      <c r="Q133" s="63" t="inlineStr">
        <is>
          <t>договоренности не было</t>
        </is>
      </c>
      <c r="R133" s="63" t="inlineStr">
        <is>
          <t>трейд-ин, способ оплаты не обсуждали, знакомства с КСО не было</t>
        </is>
      </c>
      <c r="S133" s="63" t="inlineStr">
        <is>
          <t>продавец не предлагал знакомства с КСО, так как процент предлагаемый при кредитовании мне не подошел</t>
        </is>
      </c>
      <c r="T133" s="63" t="n"/>
      <c r="U133" s="63" t="n"/>
      <c r="V133" s="63" t="n"/>
      <c r="W133" s="63" t="n"/>
      <c r="X133" s="63" t="n"/>
      <c r="Y133" s="63" t="n"/>
      <c r="Z133" s="22" t="n"/>
      <c r="AA133" s="23" t="n"/>
      <c r="AC133" s="24" t="n"/>
    </row>
    <row r="134" ht="48" customHeight="1">
      <c r="A134" s="96" t="n"/>
      <c r="B134" s="96" t="n"/>
      <c r="C134" s="63" t="n">
        <v>11</v>
      </c>
      <c r="D134" s="21" t="inlineStr">
        <is>
          <t>Передает клиенту на руки все экземпляры расчетов</t>
        </is>
      </c>
      <c r="E134" s="63" t="n">
        <v>0</v>
      </c>
      <c r="F134" s="63" t="n">
        <v>1</v>
      </c>
      <c r="G134" s="63" t="inlineStr">
        <is>
          <t>N/A</t>
        </is>
      </c>
      <c r="H134" s="63" t="inlineStr">
        <is>
          <t>N/A</t>
        </is>
      </c>
      <c r="I134" s="63" t="n"/>
      <c r="J134" s="63" t="n"/>
      <c r="K134" s="63" t="n"/>
      <c r="L134" s="63" t="n"/>
      <c r="M134" s="63" t="n"/>
      <c r="N134" s="63" t="n"/>
      <c r="O134" s="43">
        <f>AVERAGE(E134:N134)</f>
        <v/>
      </c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22" t="n"/>
      <c r="AA134" s="23" t="n"/>
      <c r="AC134" s="24" t="n"/>
    </row>
    <row r="135" ht="68" customHeight="1">
      <c r="A135" s="106" t="inlineStr">
        <is>
          <t>Коммерческое предложение</t>
        </is>
      </c>
      <c r="B135" s="107" t="n"/>
      <c r="C135" s="107" t="n"/>
      <c r="D135" s="108" t="n"/>
      <c r="E135" s="89" t="n"/>
      <c r="F135" s="89" t="n"/>
      <c r="G135" s="89" t="n"/>
      <c r="H135" s="89" t="n"/>
      <c r="I135" s="89" t="n"/>
      <c r="J135" s="89" t="n"/>
      <c r="K135" s="89" t="n"/>
      <c r="L135" s="89" t="n"/>
      <c r="M135" s="89" t="n"/>
      <c r="N135" s="89" t="n"/>
      <c r="O135" s="18">
        <f>AVERAGE(O136:O141)</f>
        <v/>
      </c>
      <c r="P135" s="89" t="inlineStr">
        <is>
          <t>нет, не уточнял, есть ли у меня сомнения, соответственно и сомнений, возражений я не озвучивал</t>
        </is>
      </c>
      <c r="Q135" s="89" t="inlineStr">
        <is>
          <t>да, возражения отработал</t>
        </is>
      </c>
      <c r="R135" s="89" t="inlineStr">
        <is>
          <t>обсудили, что после того, как я приму решение, я позвоню</t>
        </is>
      </c>
      <c r="S135" s="89" t="inlineStr">
        <is>
          <t>сомнений и возражений не было</t>
        </is>
      </c>
      <c r="T135" s="89" t="n"/>
      <c r="U135" s="89" t="n"/>
      <c r="V135" s="89" t="n"/>
      <c r="W135" s="89" t="n"/>
      <c r="X135" s="89" t="n"/>
      <c r="Y135" s="89" t="n"/>
      <c r="Z135" s="29" t="n"/>
      <c r="AA135" s="30">
        <f>AVERAGE(AA136:AA186)</f>
        <v/>
      </c>
      <c r="AC135" s="19" t="n"/>
    </row>
    <row r="136" ht="68" customHeight="1">
      <c r="A136" s="63" t="n">
        <v>23</v>
      </c>
      <c r="B136" s="63" t="inlineStr">
        <is>
          <t>Предложение заключить договор</t>
        </is>
      </c>
      <c r="C136" s="63" t="n">
        <v>1</v>
      </c>
      <c r="D136" s="21" t="inlineStr">
        <is>
          <t>Продавец после презентации условий КСО и оценки трейд-ин презентует условия покупки АСП с акцентом на выгоды (скидки, ДО в подарок, выгодное предложение КАСКО и пр) + выгоды трейд-ин</t>
        </is>
      </c>
      <c r="E136" s="63" t="n">
        <v>1</v>
      </c>
      <c r="F136" s="63" t="n">
        <v>1</v>
      </c>
      <c r="G136" s="63" t="n">
        <v>0</v>
      </c>
      <c r="H136" s="63" t="n">
        <v>0</v>
      </c>
      <c r="I136" s="63" t="n"/>
      <c r="J136" s="63" t="n"/>
      <c r="K136" s="63" t="n"/>
      <c r="L136" s="63" t="n"/>
      <c r="M136" s="63" t="n"/>
      <c r="N136" s="63" t="n"/>
      <c r="O136" s="43">
        <f>AVERAGE(E136:N136)</f>
        <v/>
      </c>
      <c r="P136" s="63" t="inlineStr">
        <is>
          <t>да, озвучил, что есть скидки, выгодные варианты при кредитовании и трейд-ин</t>
        </is>
      </c>
      <c r="Q136" s="63" t="inlineStr">
        <is>
          <t>да, продавец перечислил, какие могут быть выгоды</t>
        </is>
      </c>
      <c r="R136" s="63" t="inlineStr">
        <is>
          <t>трейд-ин, способ оплаты не обсуждали, знакомства с КСО не было</t>
        </is>
      </c>
      <c r="S136" s="63" t="inlineStr">
        <is>
          <t>нет, так как я сказала, что кредит мне не подходит, а стоимость выкупа авто по трейд ин низкая, сказала, что подумаю, возможно приеду на другом авто для оценки</t>
        </is>
      </c>
      <c r="T136" s="63" t="n"/>
      <c r="U136" s="63" t="n"/>
      <c r="V136" s="63" t="n"/>
      <c r="W136" s="63" t="n"/>
      <c r="X136" s="63" t="n"/>
      <c r="Y136" s="63" t="n"/>
      <c r="Z136" s="22" t="n"/>
      <c r="AA136" s="23" t="n"/>
      <c r="AC136" s="24" t="n"/>
    </row>
    <row r="137" ht="48" customHeight="1">
      <c r="A137" s="97" t="n"/>
      <c r="B137" s="97" t="n"/>
      <c r="C137" s="63" t="n">
        <v>2</v>
      </c>
      <c r="D137" s="21" t="inlineStr">
        <is>
          <t>Уточняет по наличию открытых вопросов и запрашивает согласие на заключения сделки</t>
        </is>
      </c>
      <c r="E137" s="63" t="n">
        <v>1</v>
      </c>
      <c r="F137" s="63" t="n">
        <v>1</v>
      </c>
      <c r="G137" s="63" t="inlineStr">
        <is>
          <t>N/A</t>
        </is>
      </c>
      <c r="H137" s="63" t="inlineStr">
        <is>
          <t>N/A</t>
        </is>
      </c>
      <c r="I137" s="63" t="n"/>
      <c r="J137" s="63" t="n"/>
      <c r="K137" s="63" t="n"/>
      <c r="L137" s="63" t="n"/>
      <c r="M137" s="63" t="n"/>
      <c r="N137" s="63" t="n"/>
      <c r="O137" s="43">
        <f>AVERAGE(E137:N137)</f>
        <v/>
      </c>
      <c r="P137" s="63" t="inlineStr">
        <is>
          <t>уточнил, остались ли вопросы</t>
        </is>
      </c>
      <c r="Q137" s="63" t="inlineStr">
        <is>
          <t>да, уточнил, остались ли вопросы</t>
        </is>
      </c>
      <c r="R137" s="63" t="inlineStr">
        <is>
          <t>обсудили, что после того, как я приму решение, я позвоню</t>
        </is>
      </c>
      <c r="S137" s="63" t="inlineStr">
        <is>
          <t>нет, так как я сказала, что кредит мне не подходит, а стоимость выкупа авто по трейд ин низкая, сказала, что подумаю, возможно приеду на другом авто для оценки</t>
        </is>
      </c>
      <c r="T137" s="63" t="n"/>
      <c r="U137" s="63" t="n"/>
      <c r="V137" s="63" t="n"/>
      <c r="W137" s="63" t="n"/>
      <c r="X137" s="63" t="n"/>
      <c r="Y137" s="63" t="n"/>
      <c r="Z137" s="22" t="n"/>
      <c r="AA137" s="23" t="n"/>
      <c r="AC137" s="24" t="n"/>
    </row>
    <row r="138" ht="48" customHeight="1">
      <c r="A138" s="96" t="n"/>
      <c r="B138" s="96" t="n"/>
      <c r="C138" s="63" t="n">
        <v>3</v>
      </c>
      <c r="D138" s="21" t="inlineStr">
        <is>
          <t>Проактивно предлагает заключить договор на покупку АСП здесь и сейчас</t>
        </is>
      </c>
      <c r="E138" s="63" t="n">
        <v>0</v>
      </c>
      <c r="F138" s="63" t="n">
        <v>1</v>
      </c>
      <c r="G138" s="63" t="inlineStr">
        <is>
          <t>N/A</t>
        </is>
      </c>
      <c r="H138" s="63" t="inlineStr">
        <is>
          <t>N/A</t>
        </is>
      </c>
      <c r="I138" s="63" t="n"/>
      <c r="J138" s="63" t="n"/>
      <c r="K138" s="63" t="n"/>
      <c r="L138" s="63" t="n"/>
      <c r="M138" s="63" t="n"/>
      <c r="N138" s="63" t="n"/>
      <c r="O138" s="43">
        <f>AVERAGE(E138:N138)</f>
        <v/>
      </c>
      <c r="P138" s="63" t="inlineStr">
        <is>
          <t>нет, я говорил, что пока в процессе принятия решения</t>
        </is>
      </c>
      <c r="Q138" s="63" t="inlineStr">
        <is>
          <t>да, я обещал посмотреть VIN номер в базе</t>
        </is>
      </c>
      <c r="R138" s="63" t="inlineStr">
        <is>
          <t>обсудили, что после того, как я приму решение, я позвоню</t>
        </is>
      </c>
      <c r="S138" s="63" t="inlineStr">
        <is>
          <t>нет, так как я сказала, что кредит мне не подходит, а стоимость выкупа авто по трейд ин низкая, сказала, что подумаю, возможно приеду на другом авто для оценки</t>
        </is>
      </c>
      <c r="T138" s="63" t="n"/>
      <c r="U138" s="63" t="n"/>
      <c r="V138" s="63" t="n"/>
      <c r="W138" s="63" t="n"/>
      <c r="X138" s="63" t="n"/>
      <c r="Y138" s="63" t="n"/>
      <c r="Z138" s="22" t="n"/>
      <c r="AA138" s="23" t="n"/>
      <c r="AC138" s="24" t="n"/>
    </row>
    <row r="139" ht="48" customHeight="1">
      <c r="A139" s="65" t="n">
        <v>24</v>
      </c>
      <c r="B139" s="37" t="inlineStr">
        <is>
          <t>Особые условия</t>
        </is>
      </c>
      <c r="C139" s="69" t="n">
        <v>1</v>
      </c>
      <c r="D139" s="47" t="inlineStr">
        <is>
          <t>Отказ продавца от мотивации со стороны покупателя (ТП) за более выгодную продажу АСП в обмен на личное вознаграждение</t>
        </is>
      </c>
      <c r="E139" s="63" t="inlineStr">
        <is>
          <t>N/A</t>
        </is>
      </c>
      <c r="F139" s="63" t="inlineStr">
        <is>
          <t>N/A</t>
        </is>
      </c>
      <c r="G139" s="63" t="inlineStr">
        <is>
          <t>N/A</t>
        </is>
      </c>
      <c r="H139" s="63" t="n">
        <v>1</v>
      </c>
      <c r="I139" s="63" t="n"/>
      <c r="J139" s="63" t="n"/>
      <c r="K139" s="63" t="n"/>
      <c r="L139" s="63" t="n"/>
      <c r="M139" s="63" t="n"/>
      <c r="N139" s="63" t="n"/>
      <c r="O139" s="43">
        <f>AVERAGE(E139:N139)</f>
        <v/>
      </c>
      <c r="P139" s="63" t="inlineStr">
        <is>
          <t>провокации продавца не было</t>
        </is>
      </c>
      <c r="Q139" s="63" t="inlineStr">
        <is>
          <t>провокации продавца не было</t>
        </is>
      </c>
      <c r="R139" s="63" t="inlineStr">
        <is>
          <t>провокации не было</t>
        </is>
      </c>
      <c r="S139" s="63" t="inlineStr">
        <is>
          <t>18:40 - А если я вам вознаграждение дам? - Я не принимаю окончательных решений, все решает руководство.</t>
        </is>
      </c>
      <c r="T139" s="63" t="n"/>
      <c r="U139" s="63" t="n"/>
      <c r="V139" s="63" t="n"/>
      <c r="W139" s="63" t="n"/>
      <c r="X139" s="63" t="n"/>
      <c r="Y139" s="63" t="n"/>
      <c r="Z139" s="22" t="n"/>
      <c r="AA139" s="23" t="n"/>
      <c r="AC139" s="24" t="n"/>
    </row>
    <row r="140" ht="48" customHeight="1">
      <c r="A140" s="63" t="n">
        <v>25</v>
      </c>
      <c r="B140" s="63" t="inlineStr">
        <is>
          <t>Работа с возражениями</t>
        </is>
      </c>
      <c r="C140" s="63" t="n">
        <v>1</v>
      </c>
      <c r="D140" s="21" t="inlineStr">
        <is>
          <t>Выясняет причины сомнений (отказа) или затруднений в принятии решения</t>
        </is>
      </c>
      <c r="E140" s="63" t="n">
        <v>0</v>
      </c>
      <c r="F140" s="63" t="inlineStr">
        <is>
          <t>N/A</t>
        </is>
      </c>
      <c r="G140" s="63" t="n">
        <v>1</v>
      </c>
      <c r="H140" s="63" t="inlineStr">
        <is>
          <t>N/A</t>
        </is>
      </c>
      <c r="I140" s="63" t="n"/>
      <c r="J140" s="63" t="n"/>
      <c r="K140" s="63" t="n"/>
      <c r="L140" s="63" t="n"/>
      <c r="M140" s="63" t="n"/>
      <c r="N140" s="63" t="n"/>
      <c r="O140" s="43">
        <f>AVERAGE(E140:N140)</f>
        <v/>
      </c>
      <c r="P140" s="63" t="inlineStr">
        <is>
          <t>нет, не уточнял, есть ли у меня сомнения</t>
        </is>
      </c>
      <c r="Q140" s="63" t="inlineStr">
        <is>
          <t>сомнений и затруднений не было</t>
        </is>
      </c>
      <c r="R140" s="63" t="inlineStr">
        <is>
          <t>обсудили, что после того, как я приму решение, я позвоню</t>
        </is>
      </c>
      <c r="S140" s="63" t="inlineStr">
        <is>
          <t>сомнений и возражений не было</t>
        </is>
      </c>
      <c r="T140" s="63" t="n"/>
      <c r="U140" s="63" t="n"/>
      <c r="V140" s="63" t="n"/>
      <c r="W140" s="63" t="n"/>
      <c r="X140" s="63" t="n"/>
      <c r="Y140" s="63" t="n"/>
      <c r="Z140" s="22" t="n"/>
      <c r="AA140" s="23" t="n"/>
      <c r="AC140" s="24" t="n"/>
    </row>
    <row r="141" ht="48" customHeight="1">
      <c r="A141" s="96" t="n"/>
      <c r="B141" s="96" t="n"/>
      <c r="C141" s="63" t="n">
        <v>2</v>
      </c>
      <c r="D141" s="21" t="inlineStr">
        <is>
          <t>Отрабатывает возникшие возражения через аргументированные пояснения выгодных сторон сделки</t>
        </is>
      </c>
      <c r="E141" s="63" t="inlineStr">
        <is>
          <t>N/A</t>
        </is>
      </c>
      <c r="F141" s="63" t="n">
        <v>1</v>
      </c>
      <c r="G141" s="63" t="n">
        <v>1</v>
      </c>
      <c r="H141" s="63" t="inlineStr">
        <is>
          <t>N/A</t>
        </is>
      </c>
      <c r="I141" s="63" t="n"/>
      <c r="J141" s="63" t="n"/>
      <c r="K141" s="63" t="n"/>
      <c r="L141" s="63" t="n"/>
      <c r="M141" s="63" t="n"/>
      <c r="N141" s="63" t="n"/>
      <c r="O141" s="43">
        <f>AVERAGE(E141:N141)</f>
        <v/>
      </c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22" t="n"/>
      <c r="AA141" s="38" t="n"/>
      <c r="AC141" s="28" t="n"/>
    </row>
    <row r="142" ht="68" customHeight="1">
      <c r="A142" s="106" t="inlineStr">
        <is>
          <t>Завершающие шаги</t>
        </is>
      </c>
      <c r="B142" s="107" t="n"/>
      <c r="C142" s="107" t="n"/>
      <c r="D142" s="108" t="n"/>
      <c r="E142" s="89" t="n"/>
      <c r="F142" s="89" t="n"/>
      <c r="G142" s="89" t="n"/>
      <c r="H142" s="89" t="n"/>
      <c r="I142" s="89" t="n"/>
      <c r="J142" s="89" t="n"/>
      <c r="K142" s="89" t="n"/>
      <c r="L142" s="89" t="n"/>
      <c r="M142" s="89" t="n"/>
      <c r="N142" s="89" t="n"/>
      <c r="O142" s="45">
        <f>AVERAGE(O143:O148)</f>
        <v/>
      </c>
      <c r="P142" s="89" t="inlineStr">
        <is>
          <t>озвучил, что если я приму положительное решение, то он зарезервирует автомобиль</t>
        </is>
      </c>
      <c r="Q142" s="89" t="inlineStr">
        <is>
          <t>договоренности не предполагали резервирования</t>
        </is>
      </c>
      <c r="R142" s="89" t="inlineStr">
        <is>
          <t>резервирования автомобиля не предполагалось</t>
        </is>
      </c>
      <c r="S142" s="89" t="inlineStr">
        <is>
          <t>договоренности не предполагали резервирования</t>
        </is>
      </c>
      <c r="T142" s="89" t="n"/>
      <c r="U142" s="89" t="n"/>
      <c r="V142" s="89" t="n"/>
      <c r="W142" s="89" t="n"/>
      <c r="X142" s="89" t="n"/>
      <c r="Y142" s="89" t="n"/>
      <c r="Z142" s="29" t="n"/>
      <c r="AA142" s="39">
        <f>AVERAGE(AA147:AA148)</f>
        <v/>
      </c>
      <c r="AC142" s="29" t="n"/>
    </row>
    <row r="143" ht="46" customHeight="1">
      <c r="A143" s="9" t="n">
        <v>26</v>
      </c>
      <c r="B143" s="9" t="inlineStr">
        <is>
          <t>Договоренности о встрече</t>
        </is>
      </c>
      <c r="C143" s="9" t="n">
        <v>1</v>
      </c>
      <c r="D143" s="21" t="inlineStr">
        <is>
          <t>Передал пакет документов:расчет кредита, визитка</t>
        </is>
      </c>
      <c r="E143" s="63" t="n">
        <v>0</v>
      </c>
      <c r="F143" s="63" t="n">
        <v>1</v>
      </c>
      <c r="G143" s="63" t="n">
        <v>1</v>
      </c>
      <c r="H143" s="63" t="n">
        <v>0</v>
      </c>
      <c r="I143" s="63" t="n"/>
      <c r="J143" s="63" t="n"/>
      <c r="K143" s="63" t="n"/>
      <c r="L143" s="63" t="n"/>
      <c r="M143" s="63" t="n"/>
      <c r="N143" s="63" t="n"/>
      <c r="O143" s="43">
        <f>AVERAGE(E143:N143)</f>
        <v/>
      </c>
      <c r="P143" s="63" t="inlineStr">
        <is>
          <t>прислал смс-визитку после звонка, после встречи в ДЦ никаких документов не дал</t>
        </is>
      </c>
      <c r="Q143" s="63" t="inlineStr">
        <is>
          <t>передал распечатку кредита</t>
        </is>
      </c>
      <c r="R143" s="63" t="inlineStr">
        <is>
          <t>скинул электронную визитку, расчета кредита не было</t>
        </is>
      </c>
      <c r="S143" s="63" t="inlineStr">
        <is>
          <t>кредит не рассчитывали, визитку прислали в смс</t>
        </is>
      </c>
      <c r="T143" s="63" t="n"/>
      <c r="U143" s="63" t="n"/>
      <c r="V143" s="63" t="n"/>
      <c r="W143" s="63" t="n"/>
      <c r="X143" s="63" t="n"/>
      <c r="Y143" s="63" t="n"/>
      <c r="Z143" s="28" t="n"/>
      <c r="AA143" s="38" t="n"/>
      <c r="AC143" s="28" t="n"/>
    </row>
    <row r="144" ht="46" customHeight="1">
      <c r="A144" s="98" t="n"/>
      <c r="B144" s="98" t="n"/>
      <c r="C144" s="9" t="n">
        <v>2</v>
      </c>
      <c r="D144" s="21" t="inlineStr">
        <is>
          <t>Договорился об удобной дате и времени будущего контакта (договориться в течение 3-х дней)?</t>
        </is>
      </c>
      <c r="E144" s="63" t="n">
        <v>1</v>
      </c>
      <c r="F144" s="63" t="n">
        <v>1</v>
      </c>
      <c r="G144" s="63" t="n">
        <v>1</v>
      </c>
      <c r="H144" s="63" t="n">
        <v>0</v>
      </c>
      <c r="I144" s="63" t="n"/>
      <c r="J144" s="63" t="n"/>
      <c r="K144" s="63" t="n"/>
      <c r="L144" s="63" t="n"/>
      <c r="M144" s="63" t="n"/>
      <c r="N144" s="63" t="n"/>
      <c r="O144" s="43">
        <f>AVERAGE(E144:N144)</f>
        <v/>
      </c>
      <c r="P144" s="63" t="inlineStr">
        <is>
          <t>да, договорились созвониться</t>
        </is>
      </c>
      <c r="Q144" s="63" t="inlineStr">
        <is>
          <t>договорились созвониться</t>
        </is>
      </c>
      <c r="R144" s="63" t="inlineStr">
        <is>
          <t>обсудили, что после того, как я приму решение, я позвоню</t>
        </is>
      </c>
      <c r="S144" s="63" t="inlineStr">
        <is>
          <t>нет, не договорился</t>
        </is>
      </c>
      <c r="T144" s="63" t="n"/>
      <c r="U144" s="63" t="n"/>
      <c r="V144" s="63" t="n"/>
      <c r="W144" s="63" t="n"/>
      <c r="X144" s="63" t="n"/>
      <c r="Y144" s="63" t="n"/>
      <c r="Z144" s="28" t="n"/>
      <c r="AA144" s="38" t="n"/>
      <c r="AC144" s="28" t="n"/>
    </row>
    <row r="145" ht="46" customHeight="1">
      <c r="A145" s="98" t="n"/>
      <c r="B145" s="98" t="n"/>
      <c r="C145" s="9" t="n">
        <v>3</v>
      </c>
      <c r="D145" s="21" t="inlineStr">
        <is>
          <t>Поблагодарил за визит</t>
        </is>
      </c>
      <c r="E145" s="63" t="n">
        <v>1</v>
      </c>
      <c r="F145" s="63" t="n">
        <v>1</v>
      </c>
      <c r="G145" s="63" t="n">
        <v>1</v>
      </c>
      <c r="H145" s="63" t="n">
        <v>1</v>
      </c>
      <c r="I145" s="63" t="n"/>
      <c r="J145" s="63" t="n"/>
      <c r="K145" s="63" t="n"/>
      <c r="L145" s="63" t="n"/>
      <c r="M145" s="63" t="n"/>
      <c r="N145" s="63" t="n"/>
      <c r="O145" s="43">
        <f>AVERAGE(E145:N145)</f>
        <v/>
      </c>
      <c r="P145" s="63" t="inlineStr">
        <is>
          <t>поблагодарил за визит</t>
        </is>
      </c>
      <c r="Q145" s="63" t="inlineStr">
        <is>
          <t>поблагодарил за визит</t>
        </is>
      </c>
      <c r="R145" s="63" t="inlineStr">
        <is>
          <t>попрощался, поблагодарил за визит</t>
        </is>
      </c>
      <c r="S145" s="63" t="inlineStr">
        <is>
          <t>поблагодарил за визит</t>
        </is>
      </c>
      <c r="T145" s="63" t="n"/>
      <c r="U145" s="63" t="n"/>
      <c r="V145" s="63" t="n"/>
      <c r="W145" s="63" t="n"/>
      <c r="X145" s="63" t="n"/>
      <c r="Y145" s="63" t="n"/>
      <c r="Z145" s="28" t="n"/>
      <c r="AA145" s="38" t="n"/>
      <c r="AC145" s="28" t="n"/>
    </row>
    <row r="146" ht="46" customHeight="1">
      <c r="A146" s="99" t="n"/>
      <c r="B146" s="99" t="n"/>
      <c r="C146" s="9" t="n">
        <v>4</v>
      </c>
      <c r="D146" s="21" t="inlineStr">
        <is>
          <t>Проводил клиента к выходу</t>
        </is>
      </c>
      <c r="E146" s="63" t="n">
        <v>0</v>
      </c>
      <c r="F146" s="63" t="n">
        <v>0</v>
      </c>
      <c r="G146" s="63" t="n">
        <v>1</v>
      </c>
      <c r="H146" s="63" t="n">
        <v>0</v>
      </c>
      <c r="I146" s="63" t="n"/>
      <c r="J146" s="63" t="n"/>
      <c r="K146" s="63" t="n"/>
      <c r="L146" s="63" t="n"/>
      <c r="M146" s="63" t="n"/>
      <c r="N146" s="63" t="n"/>
      <c r="O146" s="43">
        <f>AVERAGE(E146:N146)</f>
        <v/>
      </c>
      <c r="P146" s="63" t="inlineStr">
        <is>
          <t>нет, не проводил</t>
        </is>
      </c>
      <c r="Q146" s="63" t="inlineStr">
        <is>
          <t>нет, не проводил</t>
        </is>
      </c>
      <c r="R146" s="63" t="inlineStr">
        <is>
          <t>проводил к выходу</t>
        </is>
      </c>
      <c r="S146" s="63" t="inlineStr">
        <is>
          <t>нет, не проводил</t>
        </is>
      </c>
      <c r="T146" s="63" t="n"/>
      <c r="U146" s="63" t="n"/>
      <c r="V146" s="63" t="n"/>
      <c r="W146" s="63" t="n"/>
      <c r="X146" s="63" t="n"/>
      <c r="Y146" s="63" t="n"/>
      <c r="Z146" s="28" t="n"/>
      <c r="AA146" s="38" t="n"/>
      <c r="AC146" s="28" t="n"/>
    </row>
    <row r="147" ht="46" customHeight="1">
      <c r="A147" s="9" t="n">
        <v>27</v>
      </c>
      <c r="B147" s="9" t="inlineStr">
        <is>
          <t>Повторный звонок</t>
        </is>
      </c>
      <c r="C147" s="9" t="n">
        <v>1</v>
      </c>
      <c r="D147" s="21" t="inlineStr">
        <is>
          <t>Согласует дату/время следующего контакта и создает задачи в DMS 'контакт с клиентом'.</t>
        </is>
      </c>
      <c r="E147" s="63" t="n">
        <v>1</v>
      </c>
      <c r="F147" s="63" t="n">
        <v>0</v>
      </c>
      <c r="G147" s="63" t="n">
        <v>1</v>
      </c>
      <c r="H147" s="63" t="n">
        <v>0</v>
      </c>
      <c r="I147" s="63" t="n"/>
      <c r="J147" s="63" t="n"/>
      <c r="K147" s="63" t="n"/>
      <c r="L147" s="63" t="n"/>
      <c r="M147" s="63" t="n"/>
      <c r="N147" s="63" t="n"/>
      <c r="O147" s="43">
        <f>AVERAGE(E147:N147)</f>
        <v/>
      </c>
      <c r="P147" s="63" t="inlineStr">
        <is>
          <t>договорились, что созвонимся</t>
        </is>
      </c>
      <c r="Q147" s="63" t="inlineStr">
        <is>
          <t>нет, задачи в DMS не создавал</t>
        </is>
      </c>
      <c r="R147" s="63" t="inlineStr">
        <is>
          <t>обсудили, что после того, как я приму решение, я позвоню</t>
        </is>
      </c>
      <c r="S147" s="63" t="inlineStr">
        <is>
          <t>нет</t>
        </is>
      </c>
      <c r="T147" s="63" t="n"/>
      <c r="U147" s="63" t="n"/>
      <c r="V147" s="63" t="n"/>
      <c r="W147" s="63" t="n"/>
      <c r="X147" s="63" t="n"/>
      <c r="Y147" s="63" t="n"/>
      <c r="Z147" s="28" t="n"/>
      <c r="AA147" s="38" t="n"/>
      <c r="AC147" s="28" t="n"/>
    </row>
    <row r="148" ht="46" customHeight="1">
      <c r="A148" s="99" t="n"/>
      <c r="B148" s="99" t="n"/>
      <c r="C148" s="9" t="n">
        <v>2</v>
      </c>
      <c r="D148" s="21" t="inlineStr">
        <is>
          <t>Резервирует а/м, которым интересуется клиент в DMS на срок в зависимости от договоренностей с клиентом</t>
        </is>
      </c>
      <c r="E148" s="63" t="n">
        <v>1</v>
      </c>
      <c r="F148" s="63" t="inlineStr">
        <is>
          <t>N/A</t>
        </is>
      </c>
      <c r="G148" s="63" t="inlineStr">
        <is>
          <t>N/A</t>
        </is>
      </c>
      <c r="H148" s="63" t="inlineStr">
        <is>
          <t>N/A</t>
        </is>
      </c>
      <c r="I148" s="63" t="n"/>
      <c r="J148" s="63" t="n"/>
      <c r="K148" s="63" t="n"/>
      <c r="L148" s="63" t="n"/>
      <c r="M148" s="63" t="n"/>
      <c r="N148" s="63" t="n"/>
      <c r="O148" s="43">
        <f>AVERAGE(E148:N148)</f>
        <v/>
      </c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28" t="n"/>
      <c r="AA148" s="38" t="n"/>
      <c r="AC148" s="28" t="n"/>
    </row>
  </sheetData>
  <mergeCells count="57">
    <mergeCell ref="B140:B141"/>
    <mergeCell ref="A135:D135"/>
    <mergeCell ref="B78:B82"/>
    <mergeCell ref="B52:B53"/>
    <mergeCell ref="A95:A99"/>
    <mergeCell ref="B109:B114"/>
    <mergeCell ref="B68:B70"/>
    <mergeCell ref="A60:A63"/>
    <mergeCell ref="A54:A55"/>
    <mergeCell ref="A124:A134"/>
    <mergeCell ref="B58:B59"/>
    <mergeCell ref="B71:B74"/>
    <mergeCell ref="A68:A70"/>
    <mergeCell ref="A102:D102"/>
    <mergeCell ref="A75:A76"/>
    <mergeCell ref="A106:A108"/>
    <mergeCell ref="A67:D67"/>
    <mergeCell ref="A77:D77"/>
    <mergeCell ref="A56:A57"/>
    <mergeCell ref="B95:B99"/>
    <mergeCell ref="B117:B122"/>
    <mergeCell ref="A87:A94"/>
    <mergeCell ref="P51:Y51"/>
    <mergeCell ref="A142:D142"/>
    <mergeCell ref="A51:D51"/>
    <mergeCell ref="A71:A74"/>
    <mergeCell ref="B124:B134"/>
    <mergeCell ref="D2:Z2"/>
    <mergeCell ref="A147:A148"/>
    <mergeCell ref="B106:B108"/>
    <mergeCell ref="B60:B63"/>
    <mergeCell ref="B147:B148"/>
    <mergeCell ref="A100:A101"/>
    <mergeCell ref="B83:B86"/>
    <mergeCell ref="A140:A141"/>
    <mergeCell ref="B143:B146"/>
    <mergeCell ref="B64:B65"/>
    <mergeCell ref="A103:A105"/>
    <mergeCell ref="E51:N51"/>
    <mergeCell ref="A115:A116"/>
    <mergeCell ref="A109:A114"/>
    <mergeCell ref="B103:B105"/>
    <mergeCell ref="B54:B55"/>
    <mergeCell ref="B136:B138"/>
    <mergeCell ref="A117:A122"/>
    <mergeCell ref="A78:A82"/>
    <mergeCell ref="B87:B94"/>
    <mergeCell ref="B75:B76"/>
    <mergeCell ref="A52:A53"/>
    <mergeCell ref="A83:A86"/>
    <mergeCell ref="A143:A146"/>
    <mergeCell ref="A136:A138"/>
    <mergeCell ref="A64:A65"/>
    <mergeCell ref="B56:B57"/>
    <mergeCell ref="A58:A59"/>
    <mergeCell ref="B115:B116"/>
    <mergeCell ref="B100:B101"/>
  </mergeCells>
  <conditionalFormatting sqref="O51:O1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2026-02-11T08:17:53Z</dcterms:created>
  <dcterms:modified xmlns:dcterms="http://purl.org/dc/terms/" xmlns:xsi="http://www.w3.org/2001/XMLSchema-instance" xsi:type="dcterms:W3CDTF">2026-02-17T14:25:16Z</dcterms:modified>
  <cp:lastModifiedBy>Anatolii Belskikh</cp:lastModifiedBy>
</cp:coreProperties>
</file>